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nvenue" sheetId="1" state="visible" r:id="rId1"/>
    <sheet xmlns:r="http://schemas.openxmlformats.org/officeDocument/2006/relationships" name="Contrat" sheetId="2" state="visible" r:id="rId2"/>
    <sheet xmlns:r="http://schemas.openxmlformats.org/officeDocument/2006/relationships" name="Récap annuel" sheetId="3" state="visible" r:id="rId3"/>
    <sheet xmlns:r="http://schemas.openxmlformats.org/officeDocument/2006/relationships" name="Juin 2026" sheetId="4" state="visible" r:id="rId4"/>
    <sheet xmlns:r="http://schemas.openxmlformats.org/officeDocument/2006/relationships" name="Juillet 2026" sheetId="5" state="visible" r:id="rId5"/>
    <sheet xmlns:r="http://schemas.openxmlformats.org/officeDocument/2006/relationships" name="Août 2026" sheetId="6" state="visible" r:id="rId6"/>
    <sheet xmlns:r="http://schemas.openxmlformats.org/officeDocument/2006/relationships" name="Septembre 2026" sheetId="7" state="visible" r:id="rId7"/>
    <sheet xmlns:r="http://schemas.openxmlformats.org/officeDocument/2006/relationships" name="Octobre 2026" sheetId="8" state="visible" r:id="rId8"/>
    <sheet xmlns:r="http://schemas.openxmlformats.org/officeDocument/2006/relationships" name="Novembre 2026" sheetId="9" state="visible" r:id="rId9"/>
    <sheet xmlns:r="http://schemas.openxmlformats.org/officeDocument/2006/relationships" name="Décembre 2026" sheetId="10" state="visible" r:id="rId10"/>
    <sheet xmlns:r="http://schemas.openxmlformats.org/officeDocument/2006/relationships" name="Janvier 2027" sheetId="11" state="visible" r:id="rId11"/>
    <sheet xmlns:r="http://schemas.openxmlformats.org/officeDocument/2006/relationships" name="Février 2027" sheetId="12" state="visible" r:id="rId12"/>
    <sheet xmlns:r="http://schemas.openxmlformats.org/officeDocument/2006/relationships" name="Mars 2027" sheetId="13" state="visible" r:id="rId13"/>
    <sheet xmlns:r="http://schemas.openxmlformats.org/officeDocument/2006/relationships" name="Avril 2027" sheetId="14" state="visible" r:id="rId14"/>
    <sheet xmlns:r="http://schemas.openxmlformats.org/officeDocument/2006/relationships" name="Mai 2027" sheetId="15" state="visible" r:id="rId15"/>
    <sheet xmlns:r="http://schemas.openxmlformats.org/officeDocument/2006/relationships" name="Congés payés" sheetId="16" state="visible" r:id="rId16"/>
    <sheet xmlns:r="http://schemas.openxmlformats.org/officeDocument/2006/relationships" name="Fin de contrat" sheetId="17" state="visible" r:id="rId17"/>
    <sheet xmlns:r="http://schemas.openxmlformats.org/officeDocument/2006/relationships" name="Barèmes" sheetId="18" state="visible" r:id="rId18"/>
  </sheets>
  <definedNames>
    <definedName name="Smic">'Barèmes'!$D$6</definedName>
    <definedName name="MG">'Barèmes'!$D$7</definedName>
    <definedName name="MinLegal">'Barèmes'!$D$8</definedName>
    <definedName name="MinConv">'Barèmes'!$D$9</definedName>
    <definedName name="MinConvTitre">'Barèmes'!$D$10</definedName>
    <definedName name="Ent9Min">'Barèmes'!$D$11</definedName>
    <definedName name="PlancherEnt">'Barèmes'!$D$12</definedName>
    <definedName name="SeuilMaj">'Barèmes'!$D$13</definedName>
    <definedName name="MajSupMin">'Barèmes'!$D$14</definedName>
    <definedName name="MajFerie">'Barèmes'!$D$15</definedName>
    <definedName name="TxCotis">'Barèmes'!$D$16</definedName>
    <definedName name="TxCotisAM">'Barèmes'!$D$17</definedName>
    <definedName name="CoefNet">'Barèmes'!$D$18</definedName>
    <definedName name="JoursCPMois">'Barèmes'!$D$19</definedName>
    <definedName name="PlafondCP">'Barèmes'!$D$20</definedName>
    <definedName name="FeriesEff">'Barèmes'!$F$23:$F$35</definedName>
    <definedName name="ParentNom">'Contrat'!$C$6</definedName>
    <definedName name="AssmatNom">'Contrat'!$C$7</definedName>
    <definedName name="EnfantNom">'Contrat'!$C$8</definedName>
    <definedName name="DateDebut">'Contrat'!$C$11</definedName>
    <definedName name="TypeAccueil">'Contrat'!$C$12</definedName>
    <definedName name="TypeCode">'Contrat'!$G$12</definedName>
    <definedName name="Semaines">'Contrat'!$C$13</definedName>
    <definedName name="AlsaceMoselle">'Contrat'!$C$14</definedName>
    <definedName name="PlanH">'Contrat'!$E$19:$E$25</definedName>
    <definedName name="HSem">'Contrat'!$E$26</definedName>
    <definedName name="JSem">'Contrat'!$E$27</definedName>
    <definedName name="TauxBrut">'Contrat'!$C$31</definedName>
    <definedName name="TauxNet">'Contrat'!$C$32</definedName>
    <definedName name="MajCompl">'Contrat'!$C$33</definedName>
    <definedName name="MajSup">'Contrat'!$C$34</definedName>
    <definedName name="Entretien9h">'Contrat'!$C$37</definedName>
    <definedName name="FournitRepas">'Contrat'!$C$38</definedName>
    <definedName name="PrixRepas">'Contrat'!$C$39</definedName>
    <definedName name="RepasParJour">'Contrat'!$C$40</definedName>
    <definedName name="TarifKm">'Contrat'!$C$41</definedName>
    <definedName name="ModeCP">'Contrat'!$C$44</definedName>
    <definedName name="ModeCode">'Contrat'!$G$44</definedName>
    <definedName name="MoisCPDate">'Contrat'!$G$45</definedName>
    <definedName name="PerDu">'Contrat'!$C$49:$C$60</definedName>
    <definedName name="PerAu">'Contrat'!$D$49:$D$60</definedName>
    <definedName name="PerCode">'Contrat'!$G$49:$G$60</definedName>
    <definedName name="SemRet">'Contrat'!$L$6</definedName>
    <definedName name="HeuresMens">'Contrat'!$L$8</definedName>
    <definedName name="JoursMens">'Contrat'!$L$9</definedName>
    <definedName name="SalMensBrut">'Contrat'!$L$10</definedName>
    <definedName name="SalMensNet">'Contrat'!$L$11</definedName>
    <definedName name="RecapStart">'Récap annuel'!$R$11:$R$22</definedName>
    <definedName name="RecapEff">'Récap annuel'!$S$11:$S$22</definedName>
    <definedName name="RecapPaid">'Récap annuel'!$T$11:$T$22</definedName>
    <definedName name="RecapBrutHF">'Récap annuel'!$U$11:$U$22</definedName>
    <definedName name="RecapActive">'Récap annuel'!$V$11:$V$22</definedName>
    <definedName name="CPA_J">'Congés payés'!$C$8</definedName>
    <definedName name="CPA_Sal">'Congés payés'!$D$9</definedName>
    <definedName name="CPA_Maint">'Congés payés'!$C$12</definedName>
    <definedName name="CPA_Dix">'Congés payés'!$C$13</definedName>
    <definedName name="CPA_Due">'Congés payés'!$C$14</definedName>
    <definedName name="CPB_J">'Congés payés'!$C$22</definedName>
    <definedName name="CPB_Brut">'Congés payés'!$C$23</definedName>
    <definedName name="CPTaken">'Congés payés'!$C$46</definedName>
    <definedName name="CPPaid">'Congés payés'!$E$46</definedName>
    <definedName name="Motif">'Fin de contrat'!$C$6</definedName>
    <definedName name="DateNotif">'Fin de contrat'!$C$7</definedName>
    <definedName name="DateFin">'Fin de contrat'!$C$8</definedName>
    <definedName name="AnnivRegul">'Fin de contrat'!$D$17</definedName>
    <definedName name="Regul">'Fin de contrat'!$C$24</definedName>
    <definedName name="IndemRupture">'Fin de contrat'!$C$37</definedName>
    <definedName name="FinSoumis">'Fin de contrat'!$C$40</definedName>
    <definedName name="_xlnm.Print_Area" localSheetId="0">'Bienvenue'!$A$1:$J$36</definedName>
    <definedName name="_xlnm.Print_Titles" localSheetId="3">'Juin 2026'!$17:$17</definedName>
    <definedName name="_xlnm.Print_Area" localSheetId="3">'Juin 2026'!$A$1:$N$65</definedName>
    <definedName name="_xlnm.Print_Titles" localSheetId="4">'Juillet 2026'!$17:$17</definedName>
    <definedName name="_xlnm.Print_Area" localSheetId="4">'Juillet 2026'!$A$1:$N$65</definedName>
    <definedName name="_xlnm.Print_Titles" localSheetId="5">'Août 2026'!$17:$17</definedName>
    <definedName name="_xlnm.Print_Area" localSheetId="5">'Août 2026'!$A$1:$N$65</definedName>
    <definedName name="_xlnm.Print_Titles" localSheetId="6">'Septembre 2026'!$17:$17</definedName>
    <definedName name="_xlnm.Print_Area" localSheetId="6">'Septembre 2026'!$A$1:$N$65</definedName>
    <definedName name="_xlnm.Print_Titles" localSheetId="7">'Octobre 2026'!$17:$17</definedName>
    <definedName name="_xlnm.Print_Area" localSheetId="7">'Octobre 2026'!$A$1:$N$65</definedName>
    <definedName name="_xlnm.Print_Titles" localSheetId="8">'Novembre 2026'!$17:$17</definedName>
    <definedName name="_xlnm.Print_Area" localSheetId="8">'Novembre 2026'!$A$1:$N$65</definedName>
    <definedName name="_xlnm.Print_Titles" localSheetId="9">'Décembre 2026'!$17:$17</definedName>
    <definedName name="_xlnm.Print_Area" localSheetId="9">'Décembre 2026'!$A$1:$N$65</definedName>
    <definedName name="_xlnm.Print_Titles" localSheetId="10">'Janvier 2027'!$17:$17</definedName>
    <definedName name="_xlnm.Print_Area" localSheetId="10">'Janvier 2027'!$A$1:$N$65</definedName>
    <definedName name="_xlnm.Print_Titles" localSheetId="11">'Février 2027'!$17:$17</definedName>
    <definedName name="_xlnm.Print_Area" localSheetId="11">'Février 2027'!$A$1:$N$65</definedName>
    <definedName name="_xlnm.Print_Titles" localSheetId="12">'Mars 2027'!$17:$17</definedName>
    <definedName name="_xlnm.Print_Area" localSheetId="12">'Mars 2027'!$A$1:$N$65</definedName>
    <definedName name="_xlnm.Print_Titles" localSheetId="13">'Avril 2027'!$17:$17</definedName>
    <definedName name="_xlnm.Print_Area" localSheetId="13">'Avril 2027'!$A$1:$N$65</definedName>
    <definedName name="_xlnm.Print_Titles" localSheetId="14">'Mai 2027'!$17:$17</definedName>
    <definedName name="_xlnm.Print_Area" localSheetId="14">'Mai 2027'!$A$1:$N$65</definedName>
  </definedNames>
  <calcPr calcId="124519" fullCalcOnLoad="1"/>
</workbook>
</file>

<file path=xl/styles.xml><?xml version="1.0" encoding="utf-8"?>
<styleSheet xmlns="http://schemas.openxmlformats.org/spreadsheetml/2006/main">
  <numFmts count="13">
    <numFmt numFmtId="164" formatCode="#,##0.00 &quot;€&quot;"/>
    <numFmt numFmtId="165" formatCode="0.0000"/>
    <numFmt numFmtId="166" formatCode="0.0"/>
    <numFmt numFmtId="167" formatCode="yyyy-mm-dd"/>
    <numFmt numFmtId="168" formatCode="dd/mm/yyyy"/>
    <numFmt numFmtId="169" formatCode="hh:mm"/>
    <numFmt numFmtId="170" formatCode="0.00 &quot;h&quot;;-0.00 &quot;h&quot;;&quot;–&quot;"/>
    <numFmt numFmtId="171" formatCode="#,##0.000 &quot;€&quot;"/>
    <numFmt numFmtId="172" formatCode="#,##0.00 &quot;€&quot;;-#,##0.00 &quot;€&quot;;&quot;–&quot;"/>
    <numFmt numFmtId="173" formatCode="0;-0;&quot;–&quot;"/>
    <numFmt numFmtId="174" formatCode="dd/mm"/>
    <numFmt numFmtId="175" formatCode="0.0;-0.0;&quot;–&quot;"/>
    <numFmt numFmtId="176" formatCode="0.00 &quot;h&quot;;-0.00 &quot;h&quot;;&quot;0 h&quot;"/>
  </numFmts>
  <fonts count="34">
    <font>
      <name val="Calibri"/>
      <family val="2"/>
      <color theme="1"/>
      <sz val="11"/>
      <scheme val="minor"/>
    </font>
    <font>
      <name val="Calibri"/>
      <b val="1"/>
      <color rgb="00C8643F"/>
      <sz val="10"/>
    </font>
    <font>
      <name val="Calibri"/>
      <b val="1"/>
      <color rgb="001F4D4A"/>
      <sz val="28"/>
    </font>
    <font>
      <name val="Calibri"/>
      <color rgb="006E7C7B"/>
      <sz val="12"/>
    </font>
    <font>
      <name val="Calibri"/>
      <b val="1"/>
      <color rgb="002F6B66"/>
      <sz val="10"/>
    </font>
    <font>
      <name val="Calibri"/>
      <b val="1"/>
      <color rgb="00C8643F"/>
      <sz val="22"/>
    </font>
    <font>
      <name val="Calibri"/>
      <b val="1"/>
      <color rgb="001F4D4A"/>
      <sz val="13"/>
    </font>
    <font>
      <name val="Calibri"/>
      <color rgb="001F2A2B"/>
      <sz val="10"/>
    </font>
    <font>
      <name val="Calibri"/>
      <b val="1"/>
      <color rgb="002F6B66"/>
      <sz val="11"/>
    </font>
    <font>
      <name val="Calibri"/>
      <color rgb="006E7C7B"/>
      <sz val="10"/>
    </font>
    <font>
      <name val="Calibri"/>
      <color rgb="001F2A2B"/>
      <sz val="11"/>
    </font>
    <font>
      <name val="Calibri"/>
      <i val="1"/>
      <color rgb="006E7C7B"/>
      <sz val="9"/>
    </font>
    <font>
      <name val="Calibri"/>
      <b val="1"/>
      <color rgb="001F4D4A"/>
      <sz val="22"/>
    </font>
    <font>
      <name val="Calibri"/>
      <color rgb="006E7C7B"/>
      <sz val="9"/>
    </font>
    <font>
      <name val="Calibri"/>
      <color rgb="006E7C7B"/>
      <sz val="11"/>
    </font>
    <font>
      <name val="Calibri"/>
      <b val="1"/>
      <color rgb="00FFFFFF"/>
      <sz val="10"/>
    </font>
    <font>
      <name val="Calibri"/>
      <b val="1"/>
      <color rgb="006E7C7B"/>
      <sz val="9"/>
    </font>
    <font>
      <name val="Calibri"/>
      <b val="1"/>
      <color rgb="001F2A2B"/>
      <sz val="11"/>
    </font>
    <font>
      <name val="Calibri"/>
      <b val="1"/>
      <color rgb="002F6B66"/>
      <sz val="9"/>
    </font>
    <font>
      <name val="Calibri"/>
      <b val="1"/>
      <color rgb="00DCEAE4"/>
      <sz val="9"/>
    </font>
    <font>
      <name val="Calibri"/>
      <b val="1"/>
      <color rgb="00FFFFFF"/>
      <sz val="18"/>
    </font>
    <font>
      <name val="Calibri"/>
      <b val="1"/>
      <color rgb="00FFFFFF"/>
      <sz val="9"/>
    </font>
    <font>
      <name val="Calibri"/>
      <b val="1"/>
      <color rgb="001F2A2B"/>
      <sz val="10"/>
    </font>
    <font>
      <name val="Calibri"/>
      <b val="1"/>
      <color rgb="001F4D4A"/>
      <sz val="11"/>
    </font>
    <font>
      <name val="Calibri"/>
      <b val="1"/>
      <color rgb="001F4D4A"/>
      <sz val="10"/>
    </font>
    <font>
      <name val="Calibri"/>
      <b val="1"/>
      <color rgb="001F4D4A"/>
      <sz val="12"/>
    </font>
    <font>
      <name val="Calibri"/>
      <color rgb="00DCEAE4"/>
      <sz val="9"/>
    </font>
    <font>
      <name val="Calibri"/>
      <b val="1"/>
      <color rgb="00FFFFFF"/>
      <sz val="13"/>
    </font>
    <font>
      <name val="Calibri"/>
      <b val="1"/>
      <color rgb="00F7DCCB"/>
      <sz val="9"/>
    </font>
    <font>
      <name val="Calibri"/>
      <b val="1"/>
      <color rgb="00FFFFFF"/>
      <sz val="20"/>
    </font>
    <font>
      <name val="Calibri"/>
      <i val="1"/>
      <color rgb="00DCEAE4"/>
      <sz val="8"/>
    </font>
    <font>
      <name val="Calibri"/>
      <b val="1"/>
      <color rgb="001F2A2B"/>
      <sz val="9"/>
    </font>
    <font>
      <name val="Calibri"/>
      <color rgb="00FFFFFF"/>
      <sz val="11"/>
    </font>
    <font>
      <name val="Calibri"/>
      <i val="1"/>
      <color rgb="00C8643F"/>
      <sz val="9"/>
    </font>
  </fonts>
  <fills count="14">
    <fill>
      <patternFill/>
    </fill>
    <fill>
      <patternFill patternType="gray125"/>
    </fill>
    <fill>
      <patternFill patternType="solid">
        <fgColor rgb="00FBF7F1"/>
      </patternFill>
    </fill>
    <fill>
      <patternFill patternType="solid">
        <fgColor rgb="00FFFFFF"/>
      </patternFill>
    </fill>
    <fill>
      <patternFill patternType="solid">
        <fgColor rgb="00FFF6DE"/>
      </patternFill>
    </fill>
    <fill>
      <patternFill patternType="solid">
        <fgColor rgb="00F1F7F4"/>
      </patternFill>
    </fill>
    <fill>
      <patternFill patternType="solid">
        <fgColor rgb="00DDEBF8"/>
      </patternFill>
    </fill>
    <fill>
      <patternFill patternType="solid">
        <fgColor rgb="00E2F1E8"/>
      </patternFill>
    </fill>
    <fill>
      <patternFill patternType="solid">
        <fgColor rgb="00FBE0D4"/>
      </patternFill>
    </fill>
    <fill>
      <patternFill patternType="solid">
        <fgColor rgb="00ECE6F7"/>
      </patternFill>
    </fill>
    <fill>
      <patternFill patternType="solid">
        <fgColor rgb="00EFEFEC"/>
      </patternFill>
    </fill>
    <fill>
      <patternFill patternType="solid">
        <fgColor rgb="001F4D4A"/>
      </patternFill>
    </fill>
    <fill>
      <patternFill patternType="solid">
        <fgColor rgb="002F6B66"/>
      </patternFill>
    </fill>
    <fill>
      <patternFill patternType="solid">
        <fgColor rgb="00F7DCCB"/>
      </patternFill>
    </fill>
  </fills>
  <borders count="15">
    <border>
      <left/>
      <right/>
      <top/>
      <bottom/>
      <diagonal/>
    </border>
    <border>
      <left style="thin">
        <color rgb="00D3DEDA"/>
      </left>
      <right style="thin">
        <color rgb="00D3DEDA"/>
      </right>
      <top style="thin">
        <color rgb="00D3DEDA"/>
      </top>
      <bottom style="thin">
        <color rgb="00D3DEDA"/>
      </bottom>
    </border>
    <border>
      <left style="thin">
        <color rgb="00E2BE6A"/>
      </left>
      <right style="thin">
        <color rgb="00E2BE6A"/>
      </right>
      <top style="thin">
        <color rgb="00E2BE6A"/>
      </top>
      <bottom style="thin">
        <color rgb="00E2BE6A"/>
      </bottom>
    </border>
    <border>
      <bottom style="thin">
        <color rgb="00D3DEDA"/>
      </bottom>
    </border>
    <border>
      <left/>
      <right/>
      <top style="thin">
        <color rgb="00E2BE6A"/>
      </top>
      <bottom/>
      <diagonal/>
    </border>
    <border>
      <left/>
      <right style="thin">
        <color rgb="00E2BE6A"/>
      </right>
      <top style="thin">
        <color rgb="00E2BE6A"/>
      </top>
      <bottom/>
      <diagonal/>
    </border>
    <border>
      <left/>
      <right/>
      <top style="thin">
        <color rgb="00E2BE6A"/>
      </top>
      <bottom style="thin">
        <color rgb="00E2BE6A"/>
      </bottom>
      <diagonal/>
    </border>
    <border>
      <left/>
      <right style="thin">
        <color rgb="00E2BE6A"/>
      </right>
      <top style="thin">
        <color rgb="00E2BE6A"/>
      </top>
      <bottom style="thin">
        <color rgb="00E2BE6A"/>
      </bottom>
      <diagonal/>
    </border>
    <border>
      <top style="medium">
        <color rgb="001F4D4A"/>
      </top>
    </border>
    <border/>
    <border>
      <bottom style="medium">
        <color rgb="001F4D4A"/>
      </bottom>
    </border>
    <border>
      <bottom style="thin">
        <color rgb="00EFEFEC"/>
      </bottom>
    </border>
    <border>
      <left/>
      <right/>
      <top/>
      <bottom style="thin">
        <color rgb="00EFEFEC"/>
      </bottom>
      <diagonal/>
    </border>
    <border>
      <bottom style="thin">
        <color rgb="00DCEAE4"/>
      </bottom>
    </border>
    <border>
      <bottom style="thin">
        <color rgb="006E7C7B"/>
      </bottom>
    </border>
  </borders>
  <cellStyleXfs count="1">
    <xf numFmtId="0" fontId="0" fillId="0" borderId="0"/>
  </cellStyleXfs>
  <cellXfs count="166">
    <xf numFmtId="0" fontId="0" fillId="0" borderId="0" pivotButton="0" quotePrefix="0" xfId="0"/>
    <xf numFmtId="0" fontId="0" fillId="2"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2" borderId="0" applyAlignment="1" pivotButton="0" quotePrefix="0" xfId="0">
      <alignment horizontal="left" vertical="center" wrapText="1"/>
    </xf>
    <xf numFmtId="0" fontId="4" fillId="2" borderId="0" applyAlignment="1" pivotButton="0" quotePrefix="0" xfId="0">
      <alignment horizontal="left" vertical="center" wrapText="1"/>
    </xf>
    <xf numFmtId="0" fontId="5" fillId="3" borderId="0" applyAlignment="1" pivotButton="0" quotePrefix="0" xfId="0">
      <alignment horizontal="center" vertical="top"/>
    </xf>
    <xf numFmtId="0" fontId="6" fillId="3" borderId="0" applyAlignment="1" pivotButton="0" quotePrefix="0" xfId="0">
      <alignment vertical="bottom"/>
    </xf>
    <xf numFmtId="0" fontId="0" fillId="3" borderId="0" pivotButton="0" quotePrefix="0" xfId="0"/>
    <xf numFmtId="0" fontId="7" fillId="3" borderId="0" applyAlignment="1" pivotButton="0" quotePrefix="0" xfId="0">
      <alignment vertical="top" wrapText="1"/>
    </xf>
    <xf numFmtId="0" fontId="8" fillId="2" borderId="0" applyAlignment="1" pivotButton="0" quotePrefix="0" xfId="0">
      <alignment horizontal="left" vertical="center" wrapText="1"/>
    </xf>
    <xf numFmtId="0" fontId="9" fillId="2" borderId="0" applyAlignment="1" pivotButton="0" quotePrefix="0" xfId="0">
      <alignment horizontal="left" vertical="center" wrapText="1"/>
    </xf>
    <xf numFmtId="0" fontId="10" fillId="4" borderId="2" applyAlignment="1" pivotButton="0" quotePrefix="0" xfId="0">
      <alignment horizontal="left" vertical="center" wrapText="1"/>
    </xf>
    <xf numFmtId="0" fontId="7" fillId="2" borderId="0" applyAlignment="1" pivotButton="0" quotePrefix="0" xfId="0">
      <alignment horizontal="left" vertical="center" wrapText="1"/>
    </xf>
    <xf numFmtId="0" fontId="10" fillId="5" borderId="0" applyAlignment="1" pivotButton="0" quotePrefix="0" xfId="0">
      <alignment horizontal="left" vertical="center" wrapText="1"/>
    </xf>
    <xf numFmtId="0" fontId="10" fillId="6" borderId="0" applyAlignment="1" pivotButton="0" quotePrefix="0" xfId="0">
      <alignment horizontal="left" vertical="center" wrapText="1"/>
    </xf>
    <xf numFmtId="0" fontId="10" fillId="7" borderId="0" applyAlignment="1" pivotButton="0" quotePrefix="0" xfId="0">
      <alignment horizontal="left" vertical="center" wrapText="1"/>
    </xf>
    <xf numFmtId="0" fontId="10" fillId="8" borderId="0" applyAlignment="1" pivotButton="0" quotePrefix="0" xfId="0">
      <alignment horizontal="left" vertical="center" wrapText="1"/>
    </xf>
    <xf numFmtId="0" fontId="10" fillId="9" borderId="0" applyAlignment="1" pivotButton="0" quotePrefix="0" xfId="0">
      <alignment horizontal="left" vertical="center" wrapText="1"/>
    </xf>
    <xf numFmtId="0" fontId="10" fillId="10" borderId="0" applyAlignment="1" pivotButton="0" quotePrefix="0" xfId="0">
      <alignment horizontal="left" vertical="center" wrapText="1"/>
    </xf>
    <xf numFmtId="0" fontId="7" fillId="2" borderId="0" applyAlignment="1" pivotButton="0" quotePrefix="0" xfId="0">
      <alignment vertical="top" wrapText="1"/>
    </xf>
    <xf numFmtId="0" fontId="11" fillId="2" borderId="0" applyAlignment="1" pivotButton="0" quotePrefix="0" xfId="0">
      <alignment vertical="top" wrapText="1"/>
    </xf>
    <xf numFmtId="0" fontId="12" fillId="0" borderId="0" applyAlignment="1" pivotButton="0" quotePrefix="0" xfId="0">
      <alignment vertical="bottom"/>
    </xf>
    <xf numFmtId="0" fontId="13" fillId="0" borderId="0" applyAlignment="1" pivotButton="0" quotePrefix="0" xfId="0">
      <alignment horizontal="right" vertical="bottom"/>
    </xf>
    <xf numFmtId="0" fontId="14" fillId="0" borderId="0" applyAlignment="1" pivotButton="0" quotePrefix="0" xfId="0">
      <alignment vertical="top"/>
    </xf>
    <xf numFmtId="0" fontId="15" fillId="11" borderId="0" applyAlignment="1" pivotButton="0" quotePrefix="0" xfId="0">
      <alignment vertical="center" indent="1"/>
    </xf>
    <xf numFmtId="0" fontId="0" fillId="11" borderId="0" pivotButton="0" quotePrefix="0" xfId="0"/>
    <xf numFmtId="0" fontId="15" fillId="12" borderId="0" applyAlignment="1" pivotButton="0" quotePrefix="0" xfId="0">
      <alignment vertical="center" indent="1"/>
    </xf>
    <xf numFmtId="0" fontId="0" fillId="12" borderId="0" pivotButton="0" quotePrefix="0" xfId="0"/>
    <xf numFmtId="0" fontId="10" fillId="0" borderId="0" applyAlignment="1" pivotButton="0" quotePrefix="0" xfId="0">
      <alignment horizontal="left" vertical="center" wrapText="1"/>
    </xf>
    <xf numFmtId="0" fontId="10" fillId="4" borderId="2" applyAlignment="1" applyProtection="1" pivotButton="0" quotePrefix="0" xfId="0">
      <alignment horizontal="left" vertical="center" wrapText="1"/>
      <protection locked="0" hidden="0"/>
    </xf>
    <xf numFmtId="0" fontId="0" fillId="4" borderId="2" applyProtection="1" pivotButton="0" quotePrefix="0" xfId="0">
      <protection locked="0" hidden="0"/>
    </xf>
    <xf numFmtId="0" fontId="0" fillId="5" borderId="0" pivotButton="0" quotePrefix="0" xfId="0"/>
    <xf numFmtId="1" fontId="10" fillId="5" borderId="0" applyAlignment="1" pivotButton="0" quotePrefix="0" xfId="0">
      <alignment horizontal="right" vertical="center"/>
    </xf>
    <xf numFmtId="170" fontId="10" fillId="5" borderId="0" applyAlignment="1" pivotButton="0" quotePrefix="0" xfId="0">
      <alignment horizontal="right" vertical="center"/>
    </xf>
    <xf numFmtId="2" fontId="10" fillId="5" borderId="0" applyAlignment="1" pivotButton="0" quotePrefix="0" xfId="0">
      <alignment horizontal="right" vertical="center"/>
    </xf>
    <xf numFmtId="164" fontId="6" fillId="5" borderId="0" applyAlignment="1" pivotButton="0" quotePrefix="0" xfId="0">
      <alignment horizontal="right" vertical="center"/>
    </xf>
    <xf numFmtId="168" fontId="10" fillId="4" borderId="2" applyAlignment="1" applyProtection="1" pivotButton="0" quotePrefix="0" xfId="0">
      <alignment horizontal="center" vertical="center" wrapText="1"/>
      <protection locked="0" hidden="0"/>
    </xf>
    <xf numFmtId="164" fontId="17" fillId="5" borderId="0" applyAlignment="1" pivotButton="0" quotePrefix="0" xfId="0">
      <alignment horizontal="right" vertical="center"/>
    </xf>
    <xf numFmtId="0" fontId="10" fillId="0" borderId="0" applyAlignment="1" pivotButton="0" quotePrefix="0" xfId="0">
      <alignment horizontal="right" vertical="center"/>
    </xf>
    <xf numFmtId="1" fontId="10" fillId="4" borderId="2" applyAlignment="1" applyProtection="1" pivotButton="0" quotePrefix="0" xfId="0">
      <alignment horizontal="center" vertical="center" wrapText="1"/>
      <protection locked="0" hidden="0"/>
    </xf>
    <xf numFmtId="0" fontId="13" fillId="0" borderId="0" applyAlignment="1" pivotButton="0" quotePrefix="0" xfId="0">
      <alignment horizontal="left" vertical="center" wrapText="1"/>
    </xf>
    <xf numFmtId="0" fontId="18" fillId="5" borderId="0" applyAlignment="1" pivotButton="0" quotePrefix="0" xfId="0">
      <alignment horizontal="left" vertical="center" wrapText="1"/>
    </xf>
    <xf numFmtId="0" fontId="10" fillId="4" borderId="2" applyAlignment="1" applyProtection="1" pivotButton="0" quotePrefix="0" xfId="0">
      <alignment horizontal="center" vertical="center" wrapText="1"/>
      <protection locked="0" hidden="0"/>
    </xf>
    <xf numFmtId="1" fontId="17" fillId="5" borderId="0" applyAlignment="1" pivotButton="0" quotePrefix="0" xfId="0">
      <alignment horizontal="right" vertical="center"/>
    </xf>
    <xf numFmtId="168" fontId="10" fillId="0" borderId="0" applyAlignment="1" pivotButton="0" quotePrefix="0" xfId="0">
      <alignment horizontal="center" vertical="center" wrapText="1"/>
    </xf>
    <xf numFmtId="0" fontId="11" fillId="5" borderId="0" applyAlignment="1" pivotButton="0" quotePrefix="0" xfId="0">
      <alignment vertical="top" wrapText="1"/>
    </xf>
    <xf numFmtId="0" fontId="16" fillId="0" borderId="0" applyAlignment="1" pivotButton="0" quotePrefix="0" xfId="0">
      <alignment horizontal="left" vertical="center" wrapText="1"/>
    </xf>
    <xf numFmtId="0" fontId="16" fillId="0" borderId="0" applyAlignment="1" pivotButton="0" quotePrefix="0" xfId="0">
      <alignment horizontal="center" vertical="center" wrapText="1"/>
    </xf>
    <xf numFmtId="169" fontId="10" fillId="4" borderId="2" applyAlignment="1" applyProtection="1" pivotButton="0" quotePrefix="0" xfId="0">
      <alignment horizontal="center" vertical="center" wrapText="1"/>
      <protection locked="0" hidden="0"/>
    </xf>
    <xf numFmtId="170" fontId="10" fillId="0" borderId="0" applyAlignment="1" pivotButton="0" quotePrefix="0" xfId="0">
      <alignment horizontal="right" vertical="center"/>
    </xf>
    <xf numFmtId="2" fontId="10" fillId="4" borderId="2" applyAlignment="1" applyProtection="1" pivotButton="0" quotePrefix="0" xfId="0">
      <alignment horizontal="center" vertical="center" wrapText="1"/>
      <protection locked="0" hidden="0"/>
    </xf>
    <xf numFmtId="0" fontId="7" fillId="5" borderId="0" applyAlignment="1" pivotButton="0" quotePrefix="0" xfId="0">
      <alignment horizontal="left" vertical="center" wrapText="1"/>
    </xf>
    <xf numFmtId="0" fontId="17" fillId="0" borderId="0" applyAlignment="1" pivotButton="0" quotePrefix="0" xfId="0">
      <alignment horizontal="left" vertical="center" wrapText="1"/>
    </xf>
    <xf numFmtId="170" fontId="17" fillId="0" borderId="0" applyAlignment="1" pivotButton="0" quotePrefix="0" xfId="0">
      <alignment horizontal="right" vertical="center"/>
    </xf>
    <xf numFmtId="1" fontId="10" fillId="0" borderId="0" applyAlignment="1" pivotButton="0" quotePrefix="0" xfId="0">
      <alignment horizontal="right" vertical="center"/>
    </xf>
    <xf numFmtId="164" fontId="10" fillId="4" borderId="2" applyAlignment="1" applyProtection="1" pivotButton="0" quotePrefix="0" xfId="0">
      <alignment horizontal="right" vertical="center"/>
      <protection locked="0" hidden="0"/>
    </xf>
    <xf numFmtId="0" fontId="14" fillId="0" borderId="0" applyAlignment="1" pivotButton="0" quotePrefix="0" xfId="0">
      <alignment horizontal="left" vertical="center" wrapText="1"/>
    </xf>
    <xf numFmtId="171" fontId="10" fillId="0" borderId="0" applyAlignment="1" pivotButton="0" quotePrefix="0" xfId="0">
      <alignment horizontal="right" vertical="center"/>
    </xf>
    <xf numFmtId="9" fontId="10" fillId="4" borderId="2" applyAlignment="1" applyProtection="1" pivotButton="0" quotePrefix="0" xfId="0">
      <alignment horizontal="right" vertical="center"/>
      <protection locked="0" hidden="0"/>
    </xf>
    <xf numFmtId="1" fontId="10" fillId="4" borderId="2" applyAlignment="1" applyProtection="1" pivotButton="0" quotePrefix="0" xfId="0">
      <alignment horizontal="right" vertical="center"/>
      <protection locked="0" hidden="0"/>
    </xf>
    <xf numFmtId="171" fontId="10" fillId="4" borderId="2" applyAlignment="1" applyProtection="1" pivotButton="0" quotePrefix="0" xfId="0">
      <alignment horizontal="right" vertical="center"/>
      <protection locked="0" hidden="0"/>
    </xf>
    <xf numFmtId="168" fontId="10" fillId="0" borderId="0" applyAlignment="1" pivotButton="0" quotePrefix="0" xfId="0">
      <alignment horizontal="right" vertical="center"/>
    </xf>
    <xf numFmtId="0" fontId="11" fillId="0" borderId="0" applyAlignment="1" pivotButton="0" quotePrefix="0" xfId="0">
      <alignment horizontal="left" vertical="center" wrapText="1"/>
    </xf>
    <xf numFmtId="0" fontId="19" fillId="11" borderId="0" applyAlignment="1" pivotButton="0" quotePrefix="0" xfId="0">
      <alignment vertical="center" indent="1"/>
    </xf>
    <xf numFmtId="164" fontId="20" fillId="11" borderId="0" applyAlignment="1" pivotButton="0" quotePrefix="0" xfId="0">
      <alignment horizontal="left" vertical="center" indent="1"/>
    </xf>
    <xf numFmtId="170" fontId="20" fillId="11" borderId="0" applyAlignment="1" pivotButton="0" quotePrefix="0" xfId="0">
      <alignment horizontal="left" vertical="center" indent="1"/>
    </xf>
    <xf numFmtId="0" fontId="21" fillId="11" borderId="0" applyAlignment="1" pivotButton="0" quotePrefix="0" xfId="0">
      <alignment horizontal="center" vertical="center" wrapText="1"/>
    </xf>
    <xf numFmtId="0" fontId="4" fillId="0" borderId="0" applyAlignment="1" pivotButton="0" quotePrefix="0" xfId="0">
      <alignment horizontal="left" vertical="center" wrapText="1"/>
    </xf>
    <xf numFmtId="172" fontId="7" fillId="0" borderId="0" applyAlignment="1" pivotButton="0" quotePrefix="0" xfId="0">
      <alignment horizontal="right" vertical="center"/>
    </xf>
    <xf numFmtId="170" fontId="7" fillId="0" borderId="0" applyAlignment="1" pivotButton="0" quotePrefix="0" xfId="0">
      <alignment horizontal="right" vertical="center"/>
    </xf>
    <xf numFmtId="172" fontId="22" fillId="0" borderId="0" applyAlignment="1" pivotButton="0" quotePrefix="0" xfId="0">
      <alignment horizontal="right" vertical="center"/>
    </xf>
    <xf numFmtId="173" fontId="7" fillId="0" borderId="0" applyAlignment="1" pivotButton="0" quotePrefix="0" xfId="0">
      <alignment horizontal="right" vertical="center"/>
    </xf>
    <xf numFmtId="168" fontId="7" fillId="0" borderId="0" applyAlignment="1" pivotButton="0" quotePrefix="0" xfId="0">
      <alignment horizontal="right" vertical="center"/>
    </xf>
    <xf numFmtId="2" fontId="7" fillId="0" borderId="0" applyAlignment="1" pivotButton="0" quotePrefix="0" xfId="0">
      <alignment horizontal="right" vertical="center"/>
    </xf>
    <xf numFmtId="1" fontId="7" fillId="0" borderId="0" applyAlignment="1" pivotButton="0" quotePrefix="0" xfId="0">
      <alignment horizontal="right" vertical="center"/>
    </xf>
    <xf numFmtId="0" fontId="4" fillId="5" borderId="0" applyAlignment="1" pivotButton="0" quotePrefix="0" xfId="0">
      <alignment horizontal="left" vertical="center" wrapText="1"/>
    </xf>
    <xf numFmtId="172" fontId="7" fillId="5" borderId="0" applyAlignment="1" pivotButton="0" quotePrefix="0" xfId="0">
      <alignment horizontal="right" vertical="center"/>
    </xf>
    <xf numFmtId="170" fontId="7" fillId="5" borderId="0" applyAlignment="1" pivotButton="0" quotePrefix="0" xfId="0">
      <alignment horizontal="right" vertical="center"/>
    </xf>
    <xf numFmtId="172" fontId="22" fillId="5" borderId="0" applyAlignment="1" pivotButton="0" quotePrefix="0" xfId="0">
      <alignment horizontal="right" vertical="center"/>
    </xf>
    <xf numFmtId="173" fontId="7" fillId="5" borderId="0" applyAlignment="1" pivotButton="0" quotePrefix="0" xfId="0">
      <alignment horizontal="right" vertical="center"/>
    </xf>
    <xf numFmtId="168" fontId="7" fillId="5" borderId="0" applyAlignment="1" pivotButton="0" quotePrefix="0" xfId="0">
      <alignment horizontal="right" vertical="center"/>
    </xf>
    <xf numFmtId="2" fontId="7" fillId="5" borderId="0" applyAlignment="1" pivotButton="0" quotePrefix="0" xfId="0">
      <alignment horizontal="right" vertical="center"/>
    </xf>
    <xf numFmtId="1" fontId="7" fillId="5" borderId="0" applyAlignment="1" pivotButton="0" quotePrefix="0" xfId="0">
      <alignment horizontal="right" vertical="center"/>
    </xf>
    <xf numFmtId="0" fontId="23" fillId="0" borderId="8" applyAlignment="1" pivotButton="0" quotePrefix="0" xfId="0">
      <alignment horizontal="left" vertical="center" wrapText="1"/>
    </xf>
    <xf numFmtId="172" fontId="17" fillId="0" borderId="8" applyAlignment="1" pivotButton="0" quotePrefix="0" xfId="0">
      <alignment horizontal="right" vertical="center"/>
    </xf>
    <xf numFmtId="170" fontId="17" fillId="0" borderId="8" applyAlignment="1" pivotButton="0" quotePrefix="0" xfId="0">
      <alignment horizontal="right" vertical="center"/>
    </xf>
    <xf numFmtId="173" fontId="17" fillId="0" borderId="8" applyAlignment="1" pivotButton="0" quotePrefix="0" xfId="0">
      <alignment horizontal="right" vertical="center"/>
    </xf>
    <xf numFmtId="168" fontId="0" fillId="0" borderId="0" pivotButton="0" quotePrefix="0" xfId="0"/>
    <xf numFmtId="0" fontId="24" fillId="3" borderId="10" applyAlignment="1" pivotButton="0" quotePrefix="0" xfId="0">
      <alignment vertical="center"/>
    </xf>
    <xf numFmtId="0" fontId="7" fillId="3" borderId="11" applyAlignment="1" pivotButton="0" quotePrefix="0" xfId="0">
      <alignment horizontal="left" vertical="center" wrapText="1"/>
    </xf>
    <xf numFmtId="0" fontId="0" fillId="0" borderId="11" pivotButton="0" quotePrefix="0" xfId="0"/>
    <xf numFmtId="0" fontId="0" fillId="3" borderId="11" pivotButton="0" quotePrefix="0" xfId="0"/>
    <xf numFmtId="172" fontId="10" fillId="3" borderId="11" applyAlignment="1" pivotButton="0" quotePrefix="0" xfId="0">
      <alignment horizontal="right" vertical="center"/>
    </xf>
    <xf numFmtId="0" fontId="0" fillId="0" borderId="12" pivotButton="0" quotePrefix="0" xfId="0"/>
    <xf numFmtId="0" fontId="7" fillId="5" borderId="13" applyAlignment="1" pivotButton="0" quotePrefix="0" xfId="0">
      <alignment horizontal="left" vertical="center" wrapText="1"/>
    </xf>
    <xf numFmtId="0" fontId="0" fillId="5" borderId="13" pivotButton="0" quotePrefix="0" xfId="0"/>
    <xf numFmtId="1" fontId="17" fillId="5" borderId="13" applyAlignment="1" pivotButton="0" quotePrefix="0" xfId="0">
      <alignment horizontal="right" vertical="center"/>
    </xf>
    <xf numFmtId="0" fontId="26" fillId="11" borderId="0" applyAlignment="1" pivotButton="0" quotePrefix="0" xfId="0">
      <alignment horizontal="left" vertical="center" wrapText="1"/>
    </xf>
    <xf numFmtId="164" fontId="27" fillId="11" borderId="0" applyAlignment="1" pivotButton="0" quotePrefix="0" xfId="0">
      <alignment horizontal="right" vertical="center"/>
    </xf>
    <xf numFmtId="170" fontId="9" fillId="3" borderId="11" applyAlignment="1" pivotButton="0" quotePrefix="0" xfId="0">
      <alignment horizontal="right" vertical="center"/>
    </xf>
    <xf numFmtId="173" fontId="17" fillId="5" borderId="13" applyAlignment="1" pivotButton="0" quotePrefix="0" xfId="0">
      <alignment horizontal="right" vertical="center"/>
    </xf>
    <xf numFmtId="170" fontId="17" fillId="5" borderId="13" applyAlignment="1" pivotButton="0" quotePrefix="0" xfId="0">
      <alignment horizontal="right" vertical="center"/>
    </xf>
    <xf numFmtId="0" fontId="28" fillId="11" borderId="0" applyAlignment="1" pivotButton="0" quotePrefix="0" xfId="0">
      <alignment horizontal="left" vertical="center" wrapText="1"/>
    </xf>
    <xf numFmtId="0" fontId="22" fillId="5" borderId="13" applyAlignment="1" pivotButton="0" quotePrefix="0" xfId="0">
      <alignment horizontal="left" vertical="center" wrapText="1"/>
    </xf>
    <xf numFmtId="164" fontId="25" fillId="5" borderId="13" applyAlignment="1" pivotButton="0" quotePrefix="0" xfId="0">
      <alignment horizontal="right" vertical="center"/>
    </xf>
    <xf numFmtId="164" fontId="29" fillId="11" borderId="0" applyAlignment="1" pivotButton="0" quotePrefix="0" xfId="0">
      <alignment horizontal="right" vertical="center"/>
    </xf>
    <xf numFmtId="172" fontId="17" fillId="5" borderId="13" applyAlignment="1" pivotButton="0" quotePrefix="0" xfId="0">
      <alignment horizontal="right" vertical="center"/>
    </xf>
    <xf numFmtId="172" fontId="10" fillId="4" borderId="2" applyAlignment="1" applyProtection="1" pivotButton="0" quotePrefix="0" xfId="0">
      <alignment horizontal="right" vertical="center"/>
      <protection locked="0" hidden="0"/>
    </xf>
    <xf numFmtId="0" fontId="30" fillId="11" borderId="0" applyAlignment="1" pivotButton="0" quotePrefix="0" xfId="0">
      <alignment vertical="top" wrapText="1"/>
    </xf>
    <xf numFmtId="0" fontId="0" fillId="3" borderId="9" pivotButton="0" quotePrefix="0" xfId="0"/>
    <xf numFmtId="0" fontId="23" fillId="3" borderId="8" applyAlignment="1" pivotButton="0" quotePrefix="0" xfId="0">
      <alignment horizontal="left" vertical="center" wrapText="1"/>
    </xf>
    <xf numFmtId="0" fontId="0" fillId="0" borderId="8" pivotButton="0" quotePrefix="0" xfId="0"/>
    <xf numFmtId="0" fontId="0" fillId="3" borderId="8" pivotButton="0" quotePrefix="0" xfId="0"/>
    <xf numFmtId="164" fontId="25" fillId="3" borderId="8" applyAlignment="1" pivotButton="0" quotePrefix="0" xfId="0">
      <alignment horizontal="right" vertical="center"/>
    </xf>
    <xf numFmtId="0" fontId="1" fillId="0" borderId="0" applyAlignment="1" pivotButton="0" quotePrefix="0" xfId="0">
      <alignment horizontal="left" vertical="center" wrapText="1"/>
    </xf>
    <xf numFmtId="0" fontId="31" fillId="13" borderId="0" applyAlignment="1" pivotButton="0" quotePrefix="0" xfId="0">
      <alignment horizontal="center" vertical="center" wrapText="1"/>
    </xf>
    <xf numFmtId="174" fontId="7" fillId="0" borderId="11" applyAlignment="1" pivotButton="0" quotePrefix="0" xfId="0">
      <alignment horizontal="center" vertical="center" wrapText="1"/>
    </xf>
    <xf numFmtId="0" fontId="7" fillId="0" borderId="11" applyAlignment="1" pivotButton="0" quotePrefix="0" xfId="0">
      <alignment horizontal="center" vertical="center" wrapText="1"/>
    </xf>
    <xf numFmtId="0" fontId="7" fillId="4" borderId="2" applyAlignment="1" applyProtection="1" pivotButton="0" quotePrefix="0" xfId="0">
      <alignment horizontal="left" vertical="center" wrapText="1"/>
      <protection locked="0" hidden="0"/>
    </xf>
    <xf numFmtId="169" fontId="7" fillId="4" borderId="2" applyAlignment="1" applyProtection="1" pivotButton="0" quotePrefix="0" xfId="0">
      <alignment horizontal="center" vertical="center" wrapText="1"/>
      <protection locked="0" hidden="0"/>
    </xf>
    <xf numFmtId="1" fontId="7" fillId="4" borderId="2" applyAlignment="1" applyProtection="1" pivotButton="0" quotePrefix="0" xfId="0">
      <alignment horizontal="center" vertical="center" wrapText="1"/>
      <protection locked="0" hidden="0"/>
    </xf>
    <xf numFmtId="166" fontId="7" fillId="4" borderId="2" applyAlignment="1" applyProtection="1" pivotButton="0" quotePrefix="0" xfId="0">
      <alignment horizontal="center" vertical="center" wrapText="1"/>
      <protection locked="0" hidden="0"/>
    </xf>
    <xf numFmtId="0" fontId="7" fillId="0" borderId="11" applyAlignment="1" pivotButton="0" quotePrefix="0" xfId="0">
      <alignment horizontal="left" vertical="center" wrapText="1"/>
    </xf>
    <xf numFmtId="170" fontId="7" fillId="0" borderId="11" applyAlignment="1" pivotButton="0" quotePrefix="0" xfId="0">
      <alignment horizontal="right" vertical="center"/>
    </xf>
    <xf numFmtId="170" fontId="22" fillId="0" borderId="11" applyAlignment="1" pivotButton="0" quotePrefix="0" xfId="0">
      <alignment horizontal="right" vertical="center"/>
    </xf>
    <xf numFmtId="172" fontId="7" fillId="0" borderId="11" applyAlignment="1" pivotButton="0" quotePrefix="0" xfId="0">
      <alignment horizontal="right" vertical="center"/>
    </xf>
    <xf numFmtId="175" fontId="17" fillId="0" borderId="8" applyAlignment="1" pivotButton="0" quotePrefix="0" xfId="0">
      <alignment horizontal="right" vertical="center"/>
    </xf>
    <xf numFmtId="0" fontId="17" fillId="0" borderId="8" applyAlignment="1" pivotButton="0" quotePrefix="0" xfId="0">
      <alignment horizontal="right" vertical="center"/>
    </xf>
    <xf numFmtId="0" fontId="11" fillId="0" borderId="0" applyAlignment="1" pivotButton="0" quotePrefix="0" xfId="0">
      <alignment vertical="top" wrapText="1" indent="1"/>
    </xf>
    <xf numFmtId="170" fontId="7" fillId="0" borderId="11" applyAlignment="1" pivotButton="0" quotePrefix="0" xfId="0">
      <alignment horizontal="center" vertical="center" wrapText="1"/>
    </xf>
    <xf numFmtId="170" fontId="17" fillId="0" borderId="0" applyAlignment="1" pivotButton="0" quotePrefix="0" xfId="0">
      <alignment horizontal="center" vertical="center" wrapText="1"/>
    </xf>
    <xf numFmtId="0" fontId="0" fillId="0" borderId="14" pivotButton="0" quotePrefix="0" xfId="0"/>
    <xf numFmtId="1" fontId="32" fillId="0" borderId="0" applyAlignment="1" pivotButton="0" quotePrefix="0" xfId="0">
      <alignment horizontal="right" vertical="center"/>
    </xf>
    <xf numFmtId="1" fontId="17" fillId="0" borderId="0" applyAlignment="1" pivotButton="0" quotePrefix="0" xfId="0">
      <alignment horizontal="center" vertical="center" wrapText="1"/>
    </xf>
    <xf numFmtId="164" fontId="14" fillId="0" borderId="0" applyAlignment="1" pivotButton="0" quotePrefix="0" xfId="0">
      <alignment horizontal="right" vertical="center"/>
    </xf>
    <xf numFmtId="0" fontId="33" fillId="0" borderId="0" applyAlignment="1" pivotButton="0" quotePrefix="0" xfId="0">
      <alignment horizontal="left" vertical="center" wrapText="1"/>
    </xf>
    <xf numFmtId="164" fontId="10" fillId="5" borderId="0" applyAlignment="1" pivotButton="0" quotePrefix="0" xfId="0">
      <alignment horizontal="right" vertical="center"/>
    </xf>
    <xf numFmtId="0" fontId="17" fillId="5" borderId="0" applyAlignment="1" pivotButton="0" quotePrefix="0" xfId="0">
      <alignment horizontal="left" vertical="center" wrapText="1"/>
    </xf>
    <xf numFmtId="164" fontId="25" fillId="5" borderId="0" applyAlignment="1" pivotButton="0" quotePrefix="0" xfId="0">
      <alignment horizontal="right" vertical="center"/>
    </xf>
    <xf numFmtId="0" fontId="11" fillId="0" borderId="0" applyAlignment="1" pivotButton="0" quotePrefix="0" xfId="0">
      <alignment vertical="top" wrapText="1"/>
    </xf>
    <xf numFmtId="1" fontId="10" fillId="0" borderId="0" applyAlignment="1" pivotButton="0" quotePrefix="0" xfId="0">
      <alignment horizontal="center" vertical="center" wrapText="1"/>
    </xf>
    <xf numFmtId="164" fontId="10" fillId="0" borderId="0" applyAlignment="1" pivotButton="0" quotePrefix="0" xfId="0">
      <alignment horizontal="right" vertical="center"/>
    </xf>
    <xf numFmtId="0" fontId="10" fillId="0" borderId="11" applyAlignment="1" pivotButton="0" quotePrefix="0" xfId="0">
      <alignment horizontal="left" vertical="center" wrapText="1"/>
    </xf>
    <xf numFmtId="173" fontId="10" fillId="0" borderId="11" applyAlignment="1" pivotButton="0" quotePrefix="0" xfId="0">
      <alignment horizontal="center" vertical="center" wrapText="1"/>
    </xf>
    <xf numFmtId="172" fontId="10" fillId="0" borderId="11" applyAlignment="1" pivotButton="0" quotePrefix="0" xfId="0">
      <alignment horizontal="right" vertical="center"/>
    </xf>
    <xf numFmtId="173" fontId="17" fillId="0" borderId="0" applyAlignment="1" pivotButton="0" quotePrefix="0" xfId="0">
      <alignment horizontal="center" vertical="center" wrapText="1"/>
    </xf>
    <xf numFmtId="164" fontId="17" fillId="0" borderId="0" applyAlignment="1" pivotButton="0" quotePrefix="0" xfId="0">
      <alignment horizontal="right" vertical="center"/>
    </xf>
    <xf numFmtId="0" fontId="17" fillId="0" borderId="0" applyAlignment="1" pivotButton="0" quotePrefix="0" xfId="0">
      <alignment horizontal="center" vertical="center" wrapText="1"/>
    </xf>
    <xf numFmtId="0" fontId="32" fillId="0" borderId="0" pivotButton="0" quotePrefix="0" xfId="0"/>
    <xf numFmtId="2" fontId="10" fillId="4" borderId="2" applyAlignment="1" applyProtection="1" pivotButton="0" quotePrefix="0" xfId="0">
      <alignment horizontal="right" vertical="center"/>
      <protection locked="0" hidden="0"/>
    </xf>
    <xf numFmtId="176" fontId="10" fillId="0" borderId="0" applyAlignment="1" pivotButton="0" quotePrefix="0" xfId="0">
      <alignment horizontal="right" vertical="center"/>
    </xf>
    <xf numFmtId="0" fontId="11" fillId="0" borderId="0" applyAlignment="1" pivotButton="0" quotePrefix="0" xfId="0">
      <alignment vertical="center" wrapText="1"/>
    </xf>
    <xf numFmtId="0" fontId="25" fillId="0" borderId="0" applyAlignment="1" pivotButton="0" quotePrefix="0" xfId="0">
      <alignment horizontal="left" vertical="center" wrapText="1"/>
    </xf>
    <xf numFmtId="164" fontId="6" fillId="0" borderId="0" applyAlignment="1" pivotButton="0" quotePrefix="0" xfId="0">
      <alignment horizontal="right" vertical="center"/>
    </xf>
    <xf numFmtId="0" fontId="7" fillId="0" borderId="0" applyAlignment="1" pivotButton="0" quotePrefix="0" xfId="0">
      <alignment horizontal="left" vertical="center" wrapText="1"/>
    </xf>
    <xf numFmtId="0" fontId="10" fillId="0" borderId="3" applyAlignment="1" pivotButton="0" quotePrefix="0" xfId="0">
      <alignment horizontal="left" vertical="center" wrapText="1"/>
    </xf>
    <xf numFmtId="164" fontId="10" fillId="4" borderId="3" applyAlignment="1" applyProtection="1" pivotButton="0" quotePrefix="0" xfId="0">
      <alignment horizontal="right" vertical="center"/>
      <protection locked="0" hidden="0"/>
    </xf>
    <xf numFmtId="0" fontId="13" fillId="0" borderId="3" applyAlignment="1" pivotButton="0" quotePrefix="0" xfId="0">
      <alignment horizontal="left" vertical="center" wrapText="1"/>
    </xf>
    <xf numFmtId="164" fontId="10" fillId="0" borderId="3" applyAlignment="1" pivotButton="0" quotePrefix="0" xfId="0">
      <alignment horizontal="right" vertical="center"/>
    </xf>
    <xf numFmtId="1" fontId="10" fillId="4" borderId="3" applyAlignment="1" applyProtection="1" pivotButton="0" quotePrefix="0" xfId="0">
      <alignment horizontal="right" vertical="center"/>
      <protection locked="0" hidden="0"/>
    </xf>
    <xf numFmtId="9" fontId="10" fillId="4" borderId="3" applyAlignment="1" applyProtection="1" pivotButton="0" quotePrefix="0" xfId="0">
      <alignment horizontal="right" vertical="center"/>
      <protection locked="0" hidden="0"/>
    </xf>
    <xf numFmtId="10" fontId="10" fillId="4" borderId="3" applyAlignment="1" applyProtection="1" pivotButton="0" quotePrefix="0" xfId="0">
      <alignment horizontal="right" vertical="center"/>
      <protection locked="0" hidden="0"/>
    </xf>
    <xf numFmtId="165" fontId="10" fillId="0" borderId="3" applyAlignment="1" pivotButton="0" quotePrefix="0" xfId="0">
      <alignment horizontal="right" vertical="center"/>
    </xf>
    <xf numFmtId="166" fontId="10" fillId="4" borderId="3" applyAlignment="1" applyProtection="1" pivotButton="0" quotePrefix="0" xfId="0">
      <alignment horizontal="right" vertical="center"/>
      <protection locked="0" hidden="0"/>
    </xf>
    <xf numFmtId="0" fontId="9" fillId="0" borderId="0" applyAlignment="1" pivotButton="0" quotePrefix="0" xfId="0">
      <alignment horizontal="left" vertical="center" wrapText="1"/>
    </xf>
  </cellXfs>
  <cellStyles count="1">
    <cellStyle name="Normal" xfId="0" builtinId="0" hidden="0"/>
  </cellStyles>
  <dxfs count="8">
    <dxf>
      <font>
        <name val="Calibri"/>
        <b val="1"/>
        <color rgb="00C8643F"/>
        <sz val="10"/>
      </font>
    </dxf>
    <dxf>
      <font>
        <name val="Calibri"/>
        <color rgb="00B7862C"/>
        <sz val="10"/>
      </font>
    </dxf>
    <dxf>
      <fill>
        <patternFill patternType="solid">
          <fgColor rgb="00DDEBF8"/>
        </patternFill>
      </fill>
    </dxf>
    <dxf>
      <fill>
        <patternFill patternType="solid">
          <fgColor rgb="00E2F1E8"/>
        </patternFill>
      </fill>
    </dxf>
    <dxf>
      <fill>
        <patternFill patternType="solid">
          <fgColor rgb="00FBE0D4"/>
        </patternFill>
      </fill>
    </dxf>
    <dxf>
      <fill>
        <patternFill patternType="solid">
          <fgColor rgb="00ECE6F7"/>
        </patternFill>
      </fill>
    </dxf>
    <dxf>
      <fill>
        <patternFill patternType="solid">
          <fgColor rgb="00EFEFEC"/>
        </patternFill>
      </fill>
    </dxf>
    <dxf>
      <font>
        <name val="Calibri"/>
        <color rgb="006E7C7B"/>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Montant versé chaque mois (salaire net + indemnités)</a:t>
            </a:r>
          </a:p>
        </rich>
      </tx>
    </title>
    <plotArea>
      <barChart>
        <barDir val="col"/>
        <grouping val="clustered"/>
        <ser>
          <idx val="0"/>
          <order val="0"/>
          <tx>
            <strRef>
              <f>'Récap annuel'!L10</f>
            </strRef>
          </tx>
          <spPr>
            <a:solidFill xmlns:a="http://schemas.openxmlformats.org/drawingml/2006/main">
              <a:srgbClr val="2F6B66"/>
            </a:solidFill>
            <a:ln xmlns:a="http://schemas.openxmlformats.org/drawingml/2006/main">
              <a:solidFill>
                <a:srgbClr val="2F6B66"/>
              </a:solidFill>
              <a:prstDash val="solid"/>
            </a:ln>
          </spPr>
          <cat>
            <numRef>
              <f>'Récap annuel'!$B$11:$B$22</f>
            </numRef>
          </cat>
          <val>
            <numRef>
              <f>'Récap annuel'!$L$11:$L$22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numFmt formatCode="#,##0 &quot;€&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26</row>
      <rowOff>0</rowOff>
    </from>
    <ext cx="93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rat'!A1" TargetMode="External" Id="rId1"/><Relationship Type="http://schemas.openxmlformats.org/officeDocument/2006/relationships/hyperlink" Target="#'R&#233;cap annuel'!A1" TargetMode="External" Id="rId2"/><Relationship Type="http://schemas.openxmlformats.org/officeDocument/2006/relationships/hyperlink" Target="#'Juin 2026'!A1" TargetMode="External" Id="rId3"/><Relationship Type="http://schemas.openxmlformats.org/officeDocument/2006/relationships/hyperlink" Target="#'Juillet 2026'!A1" TargetMode="External" Id="rId4"/><Relationship Type="http://schemas.openxmlformats.org/officeDocument/2006/relationships/hyperlink" Target="#'Ao&#251;t 2026'!A1" TargetMode="External" Id="rId5"/><Relationship Type="http://schemas.openxmlformats.org/officeDocument/2006/relationships/hyperlink" Target="#'Septembre 2026'!A1" TargetMode="External" Id="rId6"/><Relationship Type="http://schemas.openxmlformats.org/officeDocument/2006/relationships/hyperlink" Target="#'Octobre 2026'!A1" TargetMode="External" Id="rId7"/><Relationship Type="http://schemas.openxmlformats.org/officeDocument/2006/relationships/hyperlink" Target="#'Novembre 2026'!A1" TargetMode="External" Id="rId8"/><Relationship Type="http://schemas.openxmlformats.org/officeDocument/2006/relationships/hyperlink" Target="#'D&#233;cembre 2026'!A1" TargetMode="External" Id="rId9"/><Relationship Type="http://schemas.openxmlformats.org/officeDocument/2006/relationships/hyperlink" Target="#'Janvier 2027'!A1" TargetMode="External" Id="rId10"/><Relationship Type="http://schemas.openxmlformats.org/officeDocument/2006/relationships/hyperlink" Target="#'F&#233;vrier 2027'!A1" TargetMode="External" Id="rId11"/><Relationship Type="http://schemas.openxmlformats.org/officeDocument/2006/relationships/hyperlink" Target="#'Mars 2027'!A1" TargetMode="External" Id="rId12"/><Relationship Type="http://schemas.openxmlformats.org/officeDocument/2006/relationships/hyperlink" Target="#'Avril 2027'!A1" TargetMode="External" Id="rId13"/><Relationship Type="http://schemas.openxmlformats.org/officeDocument/2006/relationships/hyperlink" Target="#'Mai 2027'!A1" TargetMode="External" Id="rId14"/><Relationship Type="http://schemas.openxmlformats.org/officeDocument/2006/relationships/hyperlink" Target="#'Cong&#233;s pay&#233;s'!A1" TargetMode="External" Id="rId15"/><Relationship Type="http://schemas.openxmlformats.org/officeDocument/2006/relationships/hyperlink" Target="#'Fin de contrat'!A1" TargetMode="External" Id="rId16"/><Relationship Type="http://schemas.openxmlformats.org/officeDocument/2006/relationships/hyperlink" Target="#'Bar&#232;mes'!A1" TargetMode="External" Id="rId17"/></Relationships>
</file>

<file path=xl/worksheets/_rels/sheet3.xml.rels><Relationships xmlns="http://schemas.openxmlformats.org/package/2006/relationships"><Relationship Type="http://schemas.openxmlformats.org/officeDocument/2006/relationships/hyperlink" Target="#'Juin 2026'!A1" TargetMode="External" Id="rId1"/><Relationship Type="http://schemas.openxmlformats.org/officeDocument/2006/relationships/hyperlink" Target="#'Juillet 2026'!A1" TargetMode="External" Id="rId2"/><Relationship Type="http://schemas.openxmlformats.org/officeDocument/2006/relationships/hyperlink" Target="#'Ao&#251;t 2026'!A1" TargetMode="External" Id="rId3"/><Relationship Type="http://schemas.openxmlformats.org/officeDocument/2006/relationships/hyperlink" Target="#'Septembre 2026'!A1" TargetMode="External" Id="rId4"/><Relationship Type="http://schemas.openxmlformats.org/officeDocument/2006/relationships/hyperlink" Target="#'Octobre 2026'!A1" TargetMode="External" Id="rId5"/><Relationship Type="http://schemas.openxmlformats.org/officeDocument/2006/relationships/hyperlink" Target="#'Novembre 2026'!A1" TargetMode="External" Id="rId6"/><Relationship Type="http://schemas.openxmlformats.org/officeDocument/2006/relationships/hyperlink" Target="#'D&#233;cembre 2026'!A1" TargetMode="External" Id="rId7"/><Relationship Type="http://schemas.openxmlformats.org/officeDocument/2006/relationships/hyperlink" Target="#'Janvier 2027'!A1" TargetMode="External" Id="rId8"/><Relationship Type="http://schemas.openxmlformats.org/officeDocument/2006/relationships/hyperlink" Target="#'F&#233;vrier 2027'!A1" TargetMode="External" Id="rId9"/><Relationship Type="http://schemas.openxmlformats.org/officeDocument/2006/relationships/hyperlink" Target="#'Mars 2027'!A1" TargetMode="External" Id="rId10"/><Relationship Type="http://schemas.openxmlformats.org/officeDocument/2006/relationships/hyperlink" Target="#'Avril 2027'!A1" TargetMode="External" Id="rId11"/><Relationship Type="http://schemas.openxmlformats.org/officeDocument/2006/relationships/hyperlink" Target="#'Mai 2027'!A1" TargetMode="External" Id="rId12"/><Relationship Type="http://schemas.openxmlformats.org/officeDocument/2006/relationships/drawing" Target="/xl/drawings/drawing1.xml" Id="rId13"/></Relationships>
</file>

<file path=xl/worksheets/sheet1.xml><?xml version="1.0" encoding="utf-8"?>
<worksheet xmlns="http://schemas.openxmlformats.org/spreadsheetml/2006/main">
  <sheetPr>
    <tabColor rgb="001F4D4A"/>
    <outlinePr summaryBelow="1" summaryRight="1"/>
    <pageSetUpPr fitToPage="1"/>
  </sheetPr>
  <dimension ref="A1:J36"/>
  <sheetViews>
    <sheetView showGridLines="0" zoomScale="100" workbookViewId="0">
      <selection activeCell="A1" sqref="A1"/>
    </sheetView>
  </sheetViews>
  <sheetFormatPr baseColWidth="8" defaultRowHeight="15"/>
  <cols>
    <col width="3" customWidth="1" min="1" max="1"/>
    <col width="5" customWidth="1" min="2" max="2"/>
    <col width="30" customWidth="1" min="3" max="3"/>
    <col width="5" customWidth="1" min="4" max="4"/>
    <col width="30" customWidth="1" min="5" max="5"/>
    <col width="5" customWidth="1" min="6" max="6"/>
    <col width="30" customWidth="1" min="7" max="7"/>
    <col width="5" customWidth="1" min="8" max="8"/>
    <col width="30" customWidth="1" min="9" max="9"/>
    <col width="3" customWidth="1" min="10" max="10"/>
  </cols>
  <sheetData>
    <row r="1">
      <c r="A1" s="1" t="n"/>
      <c r="B1" s="1" t="n"/>
      <c r="C1" s="1" t="n"/>
      <c r="D1" s="1" t="n"/>
      <c r="E1" s="1" t="n"/>
      <c r="F1" s="1" t="n"/>
      <c r="G1" s="1" t="n"/>
      <c r="H1" s="1" t="n"/>
      <c r="I1" s="1" t="n"/>
      <c r="J1" s="1" t="n"/>
    </row>
    <row r="2" ht="22" customHeight="1">
      <c r="A2" s="1" t="n"/>
      <c r="B2" s="2" t="inlineStr">
        <is>
          <t>NID SEREIN  ·  OUTILS POUR PARENTS EMPLOYEURS</t>
        </is>
      </c>
      <c r="C2" s="1" t="n"/>
      <c r="D2" s="1" t="n"/>
      <c r="E2" s="1" t="n"/>
      <c r="F2" s="1" t="n"/>
      <c r="G2" s="1" t="n"/>
      <c r="H2" s="1" t="n"/>
      <c r="I2" s="1" t="n"/>
      <c r="J2" s="1" t="n"/>
    </row>
    <row r="3" ht="44" customHeight="1">
      <c r="A3" s="1" t="n"/>
      <c r="B3" s="3" t="inlineStr">
        <is>
          <t>Kit Parent Employeur — Assistante maternelle</t>
        </is>
      </c>
      <c r="C3" s="1" t="n"/>
      <c r="D3" s="1" t="n"/>
      <c r="E3" s="1" t="n"/>
      <c r="F3" s="1" t="n"/>
      <c r="G3" s="1" t="n"/>
      <c r="H3" s="1" t="n"/>
      <c r="I3" s="1" t="n"/>
      <c r="J3" s="1" t="n"/>
    </row>
    <row r="4" ht="22" customHeight="1">
      <c r="A4" s="1" t="n"/>
      <c r="B4" s="4" t="inlineStr">
        <is>
          <t>Édition 2026-2027  ·  du 1er juin 2026 au 31 mai 2027  ·  barèmes au 1er juin 2026</t>
        </is>
      </c>
      <c r="C4" s="1" t="n"/>
      <c r="D4" s="1" t="n"/>
      <c r="E4" s="1" t="n"/>
      <c r="F4" s="1" t="n"/>
      <c r="G4" s="1" t="n"/>
      <c r="H4" s="1" t="n"/>
      <c r="I4" s="1" t="n"/>
      <c r="J4" s="1" t="n"/>
    </row>
    <row r="5">
      <c r="A5" s="1" t="n"/>
      <c r="B5" s="1" t="n"/>
      <c r="C5" s="1" t="n"/>
      <c r="D5" s="1" t="n"/>
      <c r="E5" s="1" t="n"/>
      <c r="F5" s="1" t="n"/>
      <c r="G5" s="1" t="n"/>
      <c r="H5" s="1" t="n"/>
      <c r="I5" s="1" t="n"/>
      <c r="J5" s="1" t="n"/>
    </row>
    <row r="6">
      <c r="A6" s="1" t="n"/>
      <c r="B6" s="5" t="inlineStr">
        <is>
          <t>EN 4 ÉTAPES</t>
        </is>
      </c>
      <c r="C6" s="1" t="n"/>
      <c r="D6" s="1" t="n"/>
      <c r="E6" s="1" t="n"/>
      <c r="F6" s="1" t="n"/>
      <c r="G6" s="1" t="n"/>
      <c r="H6" s="1" t="n"/>
      <c r="I6" s="1" t="n"/>
      <c r="J6" s="1" t="n"/>
    </row>
    <row r="7" ht="24" customHeight="1">
      <c r="A7" s="1" t="n"/>
      <c r="B7" s="6" t="inlineStr">
        <is>
          <t>1</t>
        </is>
      </c>
      <c r="C7" s="7" t="inlineStr">
        <is>
          <t>Votre contrat</t>
        </is>
      </c>
      <c r="D7" s="6" t="inlineStr">
        <is>
          <t>2</t>
        </is>
      </c>
      <c r="E7" s="7" t="inlineStr">
        <is>
          <t>Chaque mois</t>
        </is>
      </c>
      <c r="F7" s="6" t="inlineStr">
        <is>
          <t>3</t>
        </is>
      </c>
      <c r="G7" s="7" t="inlineStr">
        <is>
          <t>Pajemploi</t>
        </is>
      </c>
      <c r="H7" s="6" t="inlineStr">
        <is>
          <t>4</t>
        </is>
      </c>
      <c r="I7" s="7" t="inlineStr">
        <is>
          <t>Congés et fin</t>
        </is>
      </c>
      <c r="J7" s="1" t="n"/>
    </row>
    <row r="8" ht="30" customHeight="1">
      <c r="A8" s="1" t="n"/>
      <c r="B8" s="8" t="n"/>
      <c r="C8" s="9" t="inlineStr">
        <is>
          <t>Une seule fois : planning, taux horaire, indemnités, vacances prévues.</t>
        </is>
      </c>
      <c r="D8" s="8" t="n"/>
      <c r="E8" s="9" t="inlineStr">
        <is>
          <t>Notez seulement les exceptions : absence, heures en plus, jour férié… Le reste est prérempli.</t>
        </is>
      </c>
      <c r="F8" s="8" t="n"/>
      <c r="G8" s="9" t="inlineStr">
        <is>
          <t>Recopiez le cadre vert « À déclarer sur Pajemploi ». Les chiffres sont prêts.</t>
        </is>
      </c>
      <c r="H8" s="8" t="n"/>
      <c r="I8" s="9" t="inlineStr">
        <is>
          <t>Congés payés, régularisation, préavis, indemnité de rupture : tout est calculé.</t>
        </is>
      </c>
      <c r="J8" s="1" t="n"/>
    </row>
    <row r="9" ht="30" customHeight="1">
      <c r="A9" s="1" t="n"/>
      <c r="B9" s="8" t="n"/>
      <c r="C9" s="8" t="n"/>
      <c r="D9" s="8" t="n"/>
      <c r="E9" s="8" t="n"/>
      <c r="F9" s="8" t="n"/>
      <c r="G9" s="8" t="n"/>
      <c r="H9" s="8" t="n"/>
      <c r="I9" s="8" t="n"/>
      <c r="J9" s="1" t="n"/>
    </row>
    <row r="10">
      <c r="A10" s="1" t="n"/>
      <c r="B10" s="1" t="n"/>
      <c r="C10" s="1" t="n"/>
      <c r="D10" s="1" t="n"/>
      <c r="E10" s="1" t="n"/>
      <c r="F10" s="1" t="n"/>
      <c r="G10" s="1" t="n"/>
      <c r="H10" s="1" t="n"/>
      <c r="I10" s="1" t="n"/>
      <c r="J10" s="1" t="n"/>
    </row>
    <row r="11">
      <c r="A11" s="1" t="n"/>
      <c r="B11" s="5" t="inlineStr">
        <is>
          <t>SOMMAIRE</t>
        </is>
      </c>
      <c r="C11" s="1" t="n"/>
      <c r="D11" s="1" t="n"/>
      <c r="E11" s="1" t="n"/>
      <c r="F11" s="1" t="n"/>
      <c r="G11" s="5" t="inlineStr">
        <is>
          <t>LÉGENDE</t>
        </is>
      </c>
      <c r="H11" s="1" t="n"/>
      <c r="I11" s="1" t="n"/>
      <c r="J11" s="1" t="n"/>
    </row>
    <row r="12">
      <c r="A12" s="1" t="n"/>
      <c r="B12" s="1" t="n"/>
      <c r="C12" s="10" t="inlineStr">
        <is>
          <t>→  Contrat</t>
        </is>
      </c>
      <c r="D12" s="1" t="n"/>
      <c r="E12" s="11" t="inlineStr">
        <is>
          <t>À remplir en premier</t>
        </is>
      </c>
      <c r="F12" s="1" t="n"/>
      <c r="G12" s="12" t="inlineStr"/>
      <c r="H12" s="13" t="inlineStr">
        <is>
          <t>Cellule à remplir</t>
        </is>
      </c>
      <c r="I12" s="1" t="n"/>
      <c r="J12" s="1" t="n"/>
    </row>
    <row r="13">
      <c r="A13" s="1" t="n"/>
      <c r="B13" s="1" t="n"/>
      <c r="C13" s="10" t="inlineStr">
        <is>
          <t>→  Récap annuel</t>
        </is>
      </c>
      <c r="D13" s="1" t="n"/>
      <c r="E13" s="11" t="inlineStr">
        <is>
          <t>L'année en un coup d'œil</t>
        </is>
      </c>
      <c r="F13" s="1" t="n"/>
      <c r="G13" s="14" t="inlineStr"/>
      <c r="H13" s="13" t="inlineStr">
        <is>
          <t>Résultat calculé</t>
        </is>
      </c>
      <c r="I13" s="1" t="n"/>
      <c r="J13" s="1" t="n"/>
    </row>
    <row r="14">
      <c r="A14" s="1" t="n"/>
      <c r="B14" s="1" t="n"/>
      <c r="C14" s="10" t="inlineStr">
        <is>
          <t>→  Juin 2026</t>
        </is>
      </c>
      <c r="D14" s="1" t="n"/>
      <c r="E14" s="11" t="inlineStr">
        <is>
          <t>Présence + déclaration du mois</t>
        </is>
      </c>
      <c r="F14" s="1" t="n"/>
      <c r="G14" s="15" t="inlineStr"/>
      <c r="H14" s="13" t="inlineStr">
        <is>
          <t>Congé payé</t>
        </is>
      </c>
      <c r="I14" s="1" t="n"/>
      <c r="J14" s="1" t="n"/>
    </row>
    <row r="15">
      <c r="A15" s="1" t="n"/>
      <c r="B15" s="1" t="n"/>
      <c r="C15" s="10" t="inlineStr">
        <is>
          <t>→  Juillet 2026</t>
        </is>
      </c>
      <c r="D15" s="1" t="n"/>
      <c r="E15" s="11" t="inlineStr">
        <is>
          <t>Présence + déclaration du mois</t>
        </is>
      </c>
      <c r="F15" s="1" t="n"/>
      <c r="G15" s="16" t="inlineStr"/>
      <c r="H15" s="13" t="inlineStr">
        <is>
          <t>Absence de l'enfant payée</t>
        </is>
      </c>
      <c r="I15" s="1" t="n"/>
      <c r="J15" s="1" t="n"/>
    </row>
    <row r="16">
      <c r="A16" s="1" t="n"/>
      <c r="B16" s="1" t="n"/>
      <c r="C16" s="10" t="inlineStr">
        <is>
          <t>→  Août 2026</t>
        </is>
      </c>
      <c r="D16" s="1" t="n"/>
      <c r="E16" s="11" t="inlineStr">
        <is>
          <t>Présence + déclaration du mois</t>
        </is>
      </c>
      <c r="F16" s="1" t="n"/>
      <c r="G16" s="17" t="inlineStr"/>
      <c r="H16" s="13" t="inlineStr">
        <is>
          <t>Absence retenue sur le salaire</t>
        </is>
      </c>
      <c r="I16" s="1" t="n"/>
      <c r="J16" s="1" t="n"/>
    </row>
    <row r="17">
      <c r="A17" s="1" t="n"/>
      <c r="B17" s="1" t="n"/>
      <c r="C17" s="10" t="inlineStr">
        <is>
          <t>→  Septembre 2026</t>
        </is>
      </c>
      <c r="D17" s="1" t="n"/>
      <c r="E17" s="11" t="inlineStr">
        <is>
          <t>Présence + déclaration du mois</t>
        </is>
      </c>
      <c r="F17" s="1" t="n"/>
      <c r="G17" s="18" t="inlineStr"/>
      <c r="H17" s="13" t="inlineStr">
        <is>
          <t>Jour férié</t>
        </is>
      </c>
      <c r="I17" s="1" t="n"/>
      <c r="J17" s="1" t="n"/>
    </row>
    <row r="18">
      <c r="A18" s="1" t="n"/>
      <c r="B18" s="1" t="n"/>
      <c r="C18" s="10" t="inlineStr">
        <is>
          <t>→  Octobre 2026</t>
        </is>
      </c>
      <c r="D18" s="1" t="n"/>
      <c r="E18" s="11" t="inlineStr">
        <is>
          <t>Présence + déclaration du mois</t>
        </is>
      </c>
      <c r="F18" s="1" t="n"/>
      <c r="G18" s="19" t="inlineStr"/>
      <c r="H18" s="13" t="inlineStr">
        <is>
          <t>Semaine non programmée / hors contrat</t>
        </is>
      </c>
      <c r="I18" s="1" t="n"/>
      <c r="J18" s="1" t="n"/>
    </row>
    <row r="19">
      <c r="A19" s="1" t="n"/>
      <c r="B19" s="1" t="n"/>
      <c r="C19" s="10" t="inlineStr">
        <is>
          <t>→  Novembre 2026</t>
        </is>
      </c>
      <c r="D19" s="1" t="n"/>
      <c r="E19" s="11" t="inlineStr">
        <is>
          <t>Présence + déclaration du mois</t>
        </is>
      </c>
      <c r="F19" s="1" t="n"/>
      <c r="G19" s="1" t="n"/>
      <c r="H19" s="1" t="n"/>
      <c r="I19" s="1" t="n"/>
      <c r="J19" s="1" t="n"/>
    </row>
    <row r="20">
      <c r="A20" s="1" t="n"/>
      <c r="B20" s="1" t="n"/>
      <c r="C20" s="10" t="inlineStr">
        <is>
          <t>→  Décembre 2026</t>
        </is>
      </c>
      <c r="D20" s="1" t="n"/>
      <c r="E20" s="11" t="inlineStr">
        <is>
          <t>Présence + déclaration du mois</t>
        </is>
      </c>
      <c r="F20" s="1" t="n"/>
      <c r="G20" s="5" t="inlineStr">
        <is>
          <t>BON À SAVOIR</t>
        </is>
      </c>
      <c r="H20" s="1" t="n"/>
      <c r="I20" s="1" t="n"/>
      <c r="J20" s="1" t="n"/>
    </row>
    <row r="21">
      <c r="A21" s="1" t="n"/>
      <c r="B21" s="1" t="n"/>
      <c r="C21" s="10" t="inlineStr">
        <is>
          <t>→  Janvier 2027</t>
        </is>
      </c>
      <c r="D21" s="1" t="n"/>
      <c r="E21" s="11" t="inlineStr">
        <is>
          <t>Présence + déclaration du mois</t>
        </is>
      </c>
      <c r="F21" s="1" t="n"/>
      <c r="G21" s="20" t="inlineStr">
        <is>
          <t>•  Un fichier par enfant : depuis janvier 2026, Pajemploi demande une déclaration par enfant.</t>
        </is>
      </c>
      <c r="H21" s="1" t="n"/>
      <c r="I21" s="1" t="n"/>
      <c r="J21" s="1" t="n"/>
    </row>
    <row r="22">
      <c r="A22" s="1" t="n"/>
      <c r="B22" s="1" t="n"/>
      <c r="C22" s="10" t="inlineStr">
        <is>
          <t>→  Février 2027</t>
        </is>
      </c>
      <c r="D22" s="1" t="n"/>
      <c r="E22" s="11" t="inlineStr">
        <is>
          <t>Présence + déclaration du mois</t>
        </is>
      </c>
      <c r="F22" s="1" t="n"/>
      <c r="G22" s="1" t="n"/>
      <c r="H22" s="1" t="n"/>
      <c r="I22" s="1" t="n"/>
      <c r="J22" s="1" t="n"/>
    </row>
    <row r="23">
      <c r="A23" s="1" t="n"/>
      <c r="B23" s="1" t="n"/>
      <c r="C23" s="10" t="inlineStr">
        <is>
          <t>→  Mars 2027</t>
        </is>
      </c>
      <c r="D23" s="1" t="n"/>
      <c r="E23" s="11" t="inlineStr">
        <is>
          <t>Présence + déclaration du mois</t>
        </is>
      </c>
      <c r="F23" s="1" t="n"/>
      <c r="G23" s="20" t="inlineStr">
        <is>
          <t>•  Déclaration entre le 25 du mois et le 5 du mois suivant.</t>
        </is>
      </c>
      <c r="H23" s="1" t="n"/>
      <c r="I23" s="1" t="n"/>
      <c r="J23" s="1" t="n"/>
    </row>
    <row r="24">
      <c r="A24" s="1" t="n"/>
      <c r="B24" s="1" t="n"/>
      <c r="C24" s="10" t="inlineStr">
        <is>
          <t>→  Avril 2027</t>
        </is>
      </c>
      <c r="D24" s="1" t="n"/>
      <c r="E24" s="11" t="inlineStr">
        <is>
          <t>Présence + déclaration du mois</t>
        </is>
      </c>
      <c r="F24" s="1" t="n"/>
      <c r="G24" s="1" t="n"/>
      <c r="H24" s="1" t="n"/>
      <c r="I24" s="1" t="n"/>
      <c r="J24" s="1" t="n"/>
    </row>
    <row r="25">
      <c r="A25" s="1" t="n"/>
      <c r="B25" s="1" t="n"/>
      <c r="C25" s="10" t="inlineStr">
        <is>
          <t>→  Mai 2027</t>
        </is>
      </c>
      <c r="D25" s="1" t="n"/>
      <c r="E25" s="11" t="inlineStr">
        <is>
          <t>Présence + déclaration du mois</t>
        </is>
      </c>
      <c r="F25" s="1" t="n"/>
      <c r="G25" s="20" t="inlineStr">
        <is>
          <t>•  Le net affiché est une estimation : Pajemploi calcule le net exact à partir du brut.</t>
        </is>
      </c>
      <c r="H25" s="1" t="n"/>
      <c r="I25" s="1" t="n"/>
      <c r="J25" s="1" t="n"/>
    </row>
    <row r="26">
      <c r="A26" s="1" t="n"/>
      <c r="B26" s="1" t="n"/>
      <c r="C26" s="10" t="inlineStr">
        <is>
          <t>→  Congés payés</t>
        </is>
      </c>
      <c r="D26" s="1" t="n"/>
      <c r="E26" s="11" t="inlineStr">
        <is>
          <t>Droits et paiements</t>
        </is>
      </c>
      <c r="F26" s="1" t="n"/>
      <c r="G26" s="1" t="n"/>
      <c r="H26" s="1" t="n"/>
      <c r="I26" s="1" t="n"/>
      <c r="J26" s="1" t="n"/>
    </row>
    <row r="27">
      <c r="A27" s="1" t="n"/>
      <c r="B27" s="1" t="n"/>
      <c r="C27" s="10" t="inlineStr">
        <is>
          <t>→  Fin de contrat</t>
        </is>
      </c>
      <c r="D27" s="1" t="n"/>
      <c r="E27" s="11" t="inlineStr">
        <is>
          <t>Préavis, régularisation, solde</t>
        </is>
      </c>
      <c r="F27" s="1" t="n"/>
      <c r="G27" s="20" t="inlineStr">
        <is>
          <t>•  Les cellules calculées sont protégées contre les fausses manipulations (sans mot de passe).</t>
        </is>
      </c>
      <c r="H27" s="1" t="n"/>
      <c r="I27" s="1" t="n"/>
      <c r="J27" s="1" t="n"/>
    </row>
    <row r="28">
      <c r="A28" s="1" t="n"/>
      <c r="B28" s="1" t="n"/>
      <c r="C28" s="10" t="inlineStr">
        <is>
          <t>→  Barèmes</t>
        </is>
      </c>
      <c r="D28" s="1" t="n"/>
      <c r="E28" s="11" t="inlineStr">
        <is>
          <t>Taux légaux et sources</t>
        </is>
      </c>
      <c r="F28" s="1" t="n"/>
      <c r="G28" s="1" t="n"/>
      <c r="H28" s="1" t="n"/>
      <c r="I28" s="1" t="n"/>
      <c r="J28" s="1" t="n"/>
    </row>
    <row r="29">
      <c r="A29" s="1" t="n"/>
      <c r="B29" s="1" t="n"/>
      <c r="C29" s="1" t="n"/>
      <c r="D29" s="1" t="n"/>
      <c r="E29" s="1" t="n"/>
      <c r="F29" s="1" t="n"/>
      <c r="G29" s="20" t="inlineStr">
        <is>
          <t>•  Fonctionne avec Excel, Google Sheets (Fichier › Importer) et LibreOffice.</t>
        </is>
      </c>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21" t="inlineStr">
        <is>
          <t>Outil d'aide au calcul fondé sur la convention collective des particuliers employeurs et de l'emploi à domicile (IDCC 3239) et sur les fiches officielles DREETS et Pajemploi en vigueur au 1er juin 2026. Il ne remplace pas un conseil juridique. En cas de doute : votre relais petite enfance (RPE), la DREETS de votre région ou Pajemploi.</t>
        </is>
      </c>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sheetData>
  <sheetProtection selectLockedCells="0" selectUnlockedCells="0" sheet="1" objects="0" insertRows="1" insertHyperlinks="1" autoFilter="1" scenarios="0" formatColumns="0" deleteColumns="1" insertColumns="1" pivotTables="1" deleteRows="1" formatCells="1" formatRows="0" sort="1"/>
  <mergeCells count="28">
    <mergeCell ref="G25:I26"/>
    <mergeCell ref="E8:E9"/>
    <mergeCell ref="G8:G9"/>
    <mergeCell ref="H7:H9"/>
    <mergeCell ref="B3:I3"/>
    <mergeCell ref="G27:I28"/>
    <mergeCell ref="G21:I22"/>
    <mergeCell ref="B2:I2"/>
    <mergeCell ref="G23:I24"/>
    <mergeCell ref="B7:B9"/>
    <mergeCell ref="G20:I20"/>
    <mergeCell ref="H17:I17"/>
    <mergeCell ref="C8:C9"/>
    <mergeCell ref="I8:I9"/>
    <mergeCell ref="H16:I16"/>
    <mergeCell ref="F7:F9"/>
    <mergeCell ref="B11:E11"/>
    <mergeCell ref="H13:I13"/>
    <mergeCell ref="G11:I11"/>
    <mergeCell ref="H12:I12"/>
    <mergeCell ref="B6:I6"/>
    <mergeCell ref="G29:I30"/>
    <mergeCell ref="B33:I35"/>
    <mergeCell ref="H15:I15"/>
    <mergeCell ref="H18:I18"/>
    <mergeCell ref="D7:D9"/>
    <mergeCell ref="H14:I14"/>
    <mergeCell ref="B4:I4"/>
  </mergeCells>
  <hyperlinks>
    <hyperlink xmlns:r="http://schemas.openxmlformats.org/officeDocument/2006/relationships" ref="C12"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17" r:id="rId6"/>
    <hyperlink xmlns:r="http://schemas.openxmlformats.org/officeDocument/2006/relationships" ref="C18" r:id="rId7"/>
    <hyperlink xmlns:r="http://schemas.openxmlformats.org/officeDocument/2006/relationships" ref="C19" r:id="rId8"/>
    <hyperlink xmlns:r="http://schemas.openxmlformats.org/officeDocument/2006/relationships" ref="C20" r:id="rId9"/>
    <hyperlink xmlns:r="http://schemas.openxmlformats.org/officeDocument/2006/relationships" ref="C21" r:id="rId10"/>
    <hyperlink xmlns:r="http://schemas.openxmlformats.org/officeDocument/2006/relationships" ref="C22" r:id="rId11"/>
    <hyperlink xmlns:r="http://schemas.openxmlformats.org/officeDocument/2006/relationships" ref="C23" r:id="rId12"/>
    <hyperlink xmlns:r="http://schemas.openxmlformats.org/officeDocument/2006/relationships" ref="C24" r:id="rId13"/>
    <hyperlink xmlns:r="http://schemas.openxmlformats.org/officeDocument/2006/relationships" ref="C25" r:id="rId14"/>
    <hyperlink xmlns:r="http://schemas.openxmlformats.org/officeDocument/2006/relationships" ref="C26" r:id="rId15"/>
    <hyperlink xmlns:r="http://schemas.openxmlformats.org/officeDocument/2006/relationships" ref="C27" r:id="rId16"/>
    <hyperlink xmlns:r="http://schemas.openxmlformats.org/officeDocument/2006/relationships" ref="C28" r:id="rId17"/>
  </hyperlinks>
  <printOptions horizontalCentered="1"/>
  <pageMargins left="0.4" right="0.4" top="0.5" bottom="0.5" header="0.5" footer="0.5"/>
  <pageSetup orientation="landscape" paperSize="9" fitToHeight="1" fitToWidth="1"/>
</worksheet>
</file>

<file path=xl/worksheets/sheet2.xml><?xml version="1.0" encoding="utf-8"?>
<worksheet xmlns="http://schemas.openxmlformats.org/spreadsheetml/2006/main">
  <sheetPr>
    <tabColor rgb="00C8643F"/>
    <outlinePr summaryBelow="1" summaryRight="1"/>
    <pageSetUpPr fitToPage="1"/>
  </sheetPr>
  <dimension ref="B2:L61"/>
  <sheetViews>
    <sheetView showGridLines="0" zoomScale="100" workbookViewId="0">
      <pane ySplit="3" topLeftCell="A4" activePane="bottomLeft" state="frozen"/>
      <selection pane="bottomLeft" activeCell="A1" sqref="A1"/>
    </sheetView>
  </sheetViews>
  <sheetFormatPr baseColWidth="8" defaultRowHeight="15"/>
  <cols>
    <col width="2" customWidth="1" min="1" max="1"/>
    <col width="44" customWidth="1" min="2" max="2"/>
    <col width="11" customWidth="1" min="3" max="3"/>
    <col width="26" customWidth="1" min="4" max="4"/>
    <col width="11" customWidth="1" min="5" max="5"/>
    <col width="14" customWidth="1" min="6" max="6"/>
    <col hidden="1" width="6" customWidth="1" min="7" max="7"/>
    <col width="3" customWidth="1" min="8" max="8"/>
    <col width="36" customWidth="1" min="9" max="9"/>
    <col width="3" customWidth="1" min="10" max="10"/>
    <col width="3" customWidth="1" min="11" max="11"/>
    <col width="16" customWidth="1" min="12" max="12"/>
  </cols>
  <sheetData>
    <row r="1" ht="10" customHeight="1"/>
    <row r="2" ht="34" customHeight="1">
      <c r="B2" s="22" t="inlineStr">
        <is>
          <t>Votre contrat</t>
        </is>
      </c>
      <c r="L2" s="23" t="inlineStr">
        <is>
          <t>Nid Serein · Édition 2026-2027</t>
        </is>
      </c>
    </row>
    <row r="3" ht="20" customHeight="1">
      <c r="B3" s="24" t="inlineStr">
        <is>
          <t>À remplir une seule fois. Les cellules jaunes sont à compléter, tout le reste se calcule.</t>
        </is>
      </c>
    </row>
    <row r="5" ht="22" customHeight="1">
      <c r="B5" s="25" t="inlineStr">
        <is>
          <t>1 · LES PERSONNES</t>
        </is>
      </c>
      <c r="C5" s="26" t="n"/>
      <c r="D5" s="26" t="n"/>
      <c r="E5" s="26" t="n"/>
      <c r="F5" s="26" t="n"/>
      <c r="I5" s="27" t="inlineStr">
        <is>
          <t>VOTRE MENSUALISATION</t>
        </is>
      </c>
      <c r="J5" s="28" t="n"/>
      <c r="K5" s="28" t="n"/>
      <c r="L5" s="28" t="n"/>
    </row>
    <row r="6">
      <c r="B6" s="29" t="inlineStr">
        <is>
          <t>Parent employeur</t>
        </is>
      </c>
      <c r="C6" s="30" t="inlineStr">
        <is>
          <t>Camille et Thomas Martin</t>
        </is>
      </c>
      <c r="D6" s="31" t="n"/>
      <c r="E6" s="31" t="n"/>
      <c r="F6" s="31" t="n"/>
      <c r="I6" s="14" t="inlineStr">
        <is>
          <t>Semaines d'accueil retenues</t>
        </is>
      </c>
      <c r="J6" s="32" t="n"/>
      <c r="K6" s="32" t="n"/>
      <c r="L6" s="33">
        <f>IF(TypeCode=1,52,N(Semaines))</f>
        <v/>
      </c>
    </row>
    <row r="7">
      <c r="B7" s="29" t="inlineStr">
        <is>
          <t>Assistante maternelle</t>
        </is>
      </c>
      <c r="C7" s="30" t="inlineStr">
        <is>
          <t>Sophie Bernard</t>
        </is>
      </c>
      <c r="D7" s="31" t="n"/>
      <c r="E7" s="31" t="n"/>
      <c r="F7" s="31" t="n"/>
      <c r="I7" s="14" t="inlineStr">
        <is>
          <t>Heures par semaine</t>
        </is>
      </c>
      <c r="J7" s="32" t="n"/>
      <c r="K7" s="32" t="n"/>
      <c r="L7" s="34">
        <f>HSem</f>
        <v/>
      </c>
    </row>
    <row r="8">
      <c r="B8" s="29" t="inlineStr">
        <is>
          <t>Enfant accueilli (1 fichier par enfant)</t>
        </is>
      </c>
      <c r="C8" s="30" t="inlineStr">
        <is>
          <t>Léo</t>
        </is>
      </c>
      <c r="D8" s="31" t="n"/>
      <c r="E8" s="31" t="n"/>
      <c r="F8" s="31" t="n"/>
      <c r="I8" s="14" t="inlineStr">
        <is>
          <t>Heures mensualisées</t>
        </is>
      </c>
      <c r="J8" s="32" t="n"/>
      <c r="K8" s="32" t="n"/>
      <c r="L8" s="34">
        <f>ROUND(HSem*SemRet/12,2)</f>
        <v/>
      </c>
    </row>
    <row r="9">
      <c r="I9" s="14" t="inlineStr">
        <is>
          <t>Jours d'activité mensualisés</t>
        </is>
      </c>
      <c r="J9" s="32" t="n"/>
      <c r="K9" s="32" t="n"/>
      <c r="L9" s="35">
        <f>ROUND(JSem*SemRet/12,2)</f>
        <v/>
      </c>
    </row>
    <row r="10" ht="22" customHeight="1">
      <c r="B10" s="25" t="inlineStr">
        <is>
          <t>2 · LE CONTRAT</t>
        </is>
      </c>
      <c r="C10" s="26" t="n"/>
      <c r="D10" s="26" t="n"/>
      <c r="E10" s="26" t="n"/>
      <c r="F10" s="26" t="n"/>
      <c r="I10" s="14" t="inlineStr">
        <is>
          <t>Salaire mensualisé brut</t>
        </is>
      </c>
      <c r="J10" s="32" t="n"/>
      <c r="K10" s="32" t="n"/>
      <c r="L10" s="36">
        <f>ROUND(TauxBrut*(MIN(HSem,SeuilMaj)+MAX(0,HSem-SeuilMaj)*(1+MajSup))*SemRet/12,2)</f>
        <v/>
      </c>
    </row>
    <row r="11">
      <c r="B11" s="29" t="inlineStr">
        <is>
          <t>Date de début du contrat (embauche)</t>
        </is>
      </c>
      <c r="C11" s="37" t="n">
        <v>45901</v>
      </c>
      <c r="I11" s="14" t="inlineStr">
        <is>
          <t>Salaire mensualisé net (estimé)</t>
        </is>
      </c>
      <c r="J11" s="32" t="n"/>
      <c r="K11" s="32" t="n"/>
      <c r="L11" s="38">
        <f>ROUND(SalMensBrut*CoefNet,2)</f>
        <v/>
      </c>
    </row>
    <row r="12">
      <c r="B12" s="29" t="inlineStr">
        <is>
          <t>Type d'accueil</t>
        </is>
      </c>
      <c r="C12" s="30" t="inlineStr">
        <is>
          <t>46 semaines ou moins (année incomplète)</t>
        </is>
      </c>
      <c r="D12" s="31" t="n"/>
      <c r="E12" s="31" t="n"/>
      <c r="F12" s="31" t="n"/>
      <c r="G12" s="39">
        <f>IF(LEFT(C12,2)="52",1,2)</f>
        <v/>
      </c>
      <c r="I12" s="32" t="n"/>
      <c r="J12" s="32" t="n"/>
      <c r="K12" s="32" t="n"/>
      <c r="L12" s="32" t="n"/>
    </row>
    <row r="13">
      <c r="B13" s="29" t="inlineStr">
        <is>
          <t>Semaines d'accueil programmées sur 12 mois</t>
        </is>
      </c>
      <c r="C13" s="40" t="n">
        <v>42</v>
      </c>
      <c r="D13" s="41" t="inlineStr">
        <is>
          <t>année incomplète uniquement (46 max.)</t>
        </is>
      </c>
      <c r="I13" s="42" t="inlineStr">
        <is>
          <t>SUR PAJEMPLOI, CHAQUE MOIS</t>
        </is>
      </c>
      <c r="J13" s="32" t="n"/>
      <c r="K13" s="32" t="n"/>
      <c r="L13" s="32" t="n"/>
    </row>
    <row r="14">
      <c r="B14" s="29" t="inlineStr">
        <is>
          <t>Domicile de l'assmat en Alsace-Moselle ?</t>
        </is>
      </c>
      <c r="C14" s="43" t="inlineStr">
        <is>
          <t>Non</t>
        </is>
      </c>
      <c r="I14" s="14" t="inlineStr">
        <is>
          <t>Nombre d'heures normales</t>
        </is>
      </c>
      <c r="J14" s="32" t="n"/>
      <c r="K14" s="32" t="n"/>
      <c r="L14" s="44">
        <f>ROUND(HeuresMens,0)</f>
        <v/>
      </c>
    </row>
    <row r="15">
      <c r="B15" s="29" t="inlineStr">
        <is>
          <t>Date de fin du contrat</t>
        </is>
      </c>
      <c r="C15" s="45">
        <f>IF(DateFin="","",DateFin)</f>
        <v/>
      </c>
      <c r="D15" s="41" t="inlineStr">
        <is>
          <t>se renseigne dans l'onglet « Fin de contrat »</t>
        </is>
      </c>
      <c r="I15" s="14" t="inlineStr">
        <is>
          <t>Nombre de jours d'activité</t>
        </is>
      </c>
      <c r="J15" s="32" t="n"/>
      <c r="K15" s="32" t="n"/>
      <c r="L15" s="44">
        <f>ROUNDUP(JoursMens,0)</f>
        <v/>
      </c>
    </row>
    <row r="16">
      <c r="I16" s="46" t="inlineStr">
        <is>
          <t>Valeurs prévues par la mensualisation (hors absences retenues, qui sont déduites automatiquement chaque mois).</t>
        </is>
      </c>
      <c r="J16" s="32" t="n"/>
      <c r="K16" s="32" t="n"/>
      <c r="L16" s="32" t="n"/>
    </row>
    <row r="17" ht="22" customHeight="1">
      <c r="B17" s="25" t="inlineStr">
        <is>
          <t>3 · LA SEMAINE TYPE</t>
        </is>
      </c>
      <c r="C17" s="26" t="n"/>
      <c r="D17" s="26" t="n"/>
      <c r="E17" s="26" t="n"/>
      <c r="F17" s="26" t="n"/>
      <c r="I17" s="32" t="n"/>
      <c r="J17" s="32" t="n"/>
      <c r="K17" s="32" t="n"/>
      <c r="L17" s="32" t="n"/>
    </row>
    <row r="18">
      <c r="B18" s="47" t="inlineStr">
        <is>
          <t>Jour</t>
        </is>
      </c>
      <c r="C18" s="48" t="inlineStr">
        <is>
          <t>Arrivée</t>
        </is>
      </c>
      <c r="D18" s="48" t="inlineStr">
        <is>
          <t>Départ</t>
        </is>
      </c>
      <c r="E18" s="48" t="inlineStr">
        <is>
          <t>Heures</t>
        </is>
      </c>
      <c r="F18" s="48" t="inlineStr">
        <is>
          <t>ou heures/jour</t>
        </is>
      </c>
      <c r="I18" s="32" t="n"/>
      <c r="J18" s="32" t="n"/>
      <c r="K18" s="32" t="n"/>
      <c r="L18" s="32" t="n"/>
    </row>
    <row r="19">
      <c r="B19" s="29" t="inlineStr">
        <is>
          <t>Lundi</t>
        </is>
      </c>
      <c r="C19" s="49" t="n">
        <v>0.3333333333333333</v>
      </c>
      <c r="D19" s="49" t="n">
        <v>0.7291666666666666</v>
      </c>
      <c r="E19" s="50">
        <f>IF(F19&lt;&gt;"",F19,IF(AND(C19&lt;&gt;"",D19&lt;&gt;""),ROUND(MOD(D19-C19,1)*24,2),0))</f>
        <v/>
      </c>
      <c r="F19" s="51" t="n"/>
      <c r="I19" s="42" t="inlineStr">
        <is>
          <t>CONTRÔLES DE CONFORMITÉ</t>
        </is>
      </c>
      <c r="J19" s="32" t="n"/>
      <c r="K19" s="32" t="n"/>
      <c r="L19" s="32" t="n"/>
    </row>
    <row r="20">
      <c r="B20" s="29" t="inlineStr">
        <is>
          <t>Mardi</t>
        </is>
      </c>
      <c r="C20" s="49" t="n">
        <v>0.3333333333333333</v>
      </c>
      <c r="D20" s="49" t="n">
        <v>0.7291666666666666</v>
      </c>
      <c r="E20" s="50">
        <f>IF(F20&lt;&gt;"",F20,IF(AND(C20&lt;&gt;"",D20&lt;&gt;""),ROUND(MOD(D20-C20,1)*24,2),0))</f>
        <v/>
      </c>
      <c r="F20" s="51" t="n"/>
      <c r="I20" s="52">
        <f>IF(DateDebut="","• Saisissez la date de début du contrat.","✓ Date de début renseignée")</f>
        <v/>
      </c>
      <c r="J20" s="32" t="n"/>
      <c r="K20" s="32" t="n"/>
      <c r="L20" s="32" t="n"/>
    </row>
    <row r="21">
      <c r="B21" s="29" t="inlineStr">
        <is>
          <t>Mercredi</t>
        </is>
      </c>
      <c r="C21" s="49" t="n"/>
      <c r="D21" s="49" t="n"/>
      <c r="E21" s="50">
        <f>IF(F21&lt;&gt;"",F21,IF(AND(C21&lt;&gt;"",D21&lt;&gt;""),ROUND(MOD(D21-C21,1)*24,2),0))</f>
        <v/>
      </c>
      <c r="F21" s="51" t="n"/>
      <c r="I21" s="52">
        <f>IF(HSem=0,"• Complétez la semaine type.",IF(HSem&gt;48,"⚠ Plus de 48 h par semaine : vérifiez la durée maximale autorisée.","✓ "&amp;FIXED(HSem,2)&amp;" h par semaine sur "&amp;JSem&amp;" jour(s)"))</f>
        <v/>
      </c>
      <c r="J21" s="32" t="n"/>
      <c r="K21" s="32" t="n"/>
      <c r="L21" s="32" t="n"/>
    </row>
    <row r="22">
      <c r="B22" s="29" t="inlineStr">
        <is>
          <t>Jeudi</t>
        </is>
      </c>
      <c r="C22" s="49" t="n">
        <v>0.3333333333333333</v>
      </c>
      <c r="D22" s="49" t="n">
        <v>0.7291666666666666</v>
      </c>
      <c r="E22" s="50">
        <f>IF(F22&lt;&gt;"",F22,IF(AND(C22&lt;&gt;"",D22&lt;&gt;""),ROUND(MOD(D22-C22,1)*24,2),0))</f>
        <v/>
      </c>
      <c r="F22" s="51" t="n"/>
      <c r="I22" s="52">
        <f>IF(TauxBrut=0,"• Saisissez le taux horaire.",IF(TauxBrut&lt;MinConv,"⚠ Taux brut inférieur au minimum conventionnel ("&amp;FIXED(MinConv,2)&amp;" € brut)","✓ Taux conforme au minimum conventionnel"))</f>
        <v/>
      </c>
      <c r="J22" s="32" t="n"/>
      <c r="K22" s="32" t="n"/>
      <c r="L22" s="32" t="n"/>
    </row>
    <row r="23">
      <c r="B23" s="29" t="inlineStr">
        <is>
          <t>Vendredi</t>
        </is>
      </c>
      <c r="C23" s="49" t="n">
        <v>0.3333333333333333</v>
      </c>
      <c r="D23" s="49" t="n">
        <v>0.7291666666666666</v>
      </c>
      <c r="E23" s="50">
        <f>IF(F23&lt;&gt;"",F23,IF(AND(C23&lt;&gt;"",D23&lt;&gt;""),ROUND(MOD(D23-C23,1)*24,2),0))</f>
        <v/>
      </c>
      <c r="F23" s="51" t="n"/>
      <c r="I23" s="52">
        <f>IF(TypeCode=1,"✓ Accueil 52 semaines : congés payés inclus dans le salaire",IF(OR(N(Semaines)=0,Semaines&gt;46),"⚠ Année incomplète : indiquez 46 semaines d'accueil ou moins","✓ Année incomplète sur "&amp;Semaines&amp;" semaines"))</f>
        <v/>
      </c>
      <c r="J23" s="32" t="n"/>
      <c r="K23" s="32" t="n"/>
      <c r="L23" s="32" t="n"/>
    </row>
    <row r="24">
      <c r="B24" s="29" t="inlineStr">
        <is>
          <t>Samedi</t>
        </is>
      </c>
      <c r="C24" s="49" t="n"/>
      <c r="D24" s="49" t="n"/>
      <c r="E24" s="50">
        <f>IF(F24&lt;&gt;"",F24,IF(AND(C24&lt;&gt;"",D24&lt;&gt;""),ROUND(MOD(D24-C24,1)*24,2),0))</f>
        <v/>
      </c>
      <c r="F24" s="51" t="n"/>
      <c r="I24" s="52">
        <f>IF(Entretien9h&lt;Ent9Min,"⚠ Entretien inférieur au minimum ("&amp;FIXED(Ent9Min,2)&amp;" € pour 9 h)","✓ Indemnité d'entretien conforme")</f>
        <v/>
      </c>
      <c r="J24" s="32" t="n"/>
      <c r="K24" s="32" t="n"/>
      <c r="L24" s="32" t="n"/>
    </row>
    <row r="25">
      <c r="B25" s="29" t="inlineStr">
        <is>
          <t>Dimanche</t>
        </is>
      </c>
      <c r="C25" s="49" t="n"/>
      <c r="D25" s="49" t="n"/>
      <c r="E25" s="50">
        <f>IF(F25&lt;&gt;"",F25,IF(AND(C25&lt;&gt;"",D25&lt;&gt;""),ROUND(MOD(D25-C25,1)*24,2),0))</f>
        <v/>
      </c>
      <c r="F25" s="51" t="n"/>
      <c r="I25" s="52">
        <f>IF(MajSup&lt;MajSupMin,"⚠ Majoration au-delà de 45 h : 10 % minimum","✓ Majoration au-delà de 45 h conforme")</f>
        <v/>
      </c>
      <c r="J25" s="32" t="n"/>
      <c r="K25" s="32" t="n"/>
      <c r="L25" s="32" t="n"/>
    </row>
    <row r="26">
      <c r="B26" s="53" t="inlineStr">
        <is>
          <t>Total par semaine</t>
        </is>
      </c>
      <c r="E26" s="54">
        <f>SUM(E19:E25)</f>
        <v/>
      </c>
      <c r="I26" s="52">
        <f>IF(AND(FournitRepas="L'assistante maternelle",PrixRepas=0),"• Indiquez le prix d'un repas.","✓ Repas : "&amp;LOWER(FournitRepas))</f>
        <v/>
      </c>
      <c r="J26" s="32" t="n"/>
      <c r="K26" s="32" t="n"/>
      <c r="L26" s="32" t="n"/>
    </row>
    <row r="27">
      <c r="B27" s="29" t="inlineStr">
        <is>
          <t>Jours d'accueil par semaine</t>
        </is>
      </c>
      <c r="E27" s="55">
        <f>COUNTIF(E19:E25,"&gt;0")</f>
        <v/>
      </c>
      <c r="I27" s="32" t="n"/>
      <c r="J27" s="32" t="n"/>
      <c r="K27" s="32" t="n"/>
      <c r="L27" s="32" t="n"/>
    </row>
    <row r="28">
      <c r="I28" s="32" t="n"/>
      <c r="J28" s="32" t="n"/>
      <c r="K28" s="32" t="n"/>
      <c r="L28" s="32" t="n"/>
    </row>
    <row r="29" ht="22" customHeight="1">
      <c r="B29" s="25" t="inlineStr">
        <is>
          <t>4 · LA RÉMUNÉRATION</t>
        </is>
      </c>
      <c r="C29" s="26" t="n"/>
      <c r="D29" s="26" t="n"/>
      <c r="E29" s="26" t="n"/>
      <c r="F29" s="26" t="n"/>
      <c r="I29" s="32" t="n"/>
      <c r="J29" s="32" t="n"/>
      <c r="K29" s="32" t="n"/>
      <c r="L29" s="32" t="n"/>
    </row>
    <row r="30">
      <c r="B30" s="29" t="inlineStr">
        <is>
          <t>Taux horaire convenu au contrat</t>
        </is>
      </c>
      <c r="C30" s="56" t="n">
        <v>4.8</v>
      </c>
      <c r="D30" s="43" t="inlineStr">
        <is>
          <t>brut</t>
        </is>
      </c>
      <c r="E30" s="41" t="inlineStr">
        <is>
          <t>← brut ou net</t>
        </is>
      </c>
      <c r="I30" s="32" t="n"/>
      <c r="J30" s="32" t="n"/>
      <c r="K30" s="32" t="n"/>
      <c r="L30" s="32" t="n"/>
    </row>
    <row r="31">
      <c r="B31" s="57" t="inlineStr">
        <is>
          <t xml:space="preserve">   → taux horaire brut</t>
        </is>
      </c>
      <c r="C31" s="58">
        <f>IF(C30="",0,IF(D30="net",C30/CoefNet,C30))</f>
        <v/>
      </c>
      <c r="I31" s="32" t="n"/>
      <c r="J31" s="32" t="n"/>
      <c r="K31" s="32" t="n"/>
      <c r="L31" s="32" t="n"/>
    </row>
    <row r="32">
      <c r="B32" s="57" t="inlineStr">
        <is>
          <t xml:space="preserve">   → taux horaire net (estimé)</t>
        </is>
      </c>
      <c r="C32" s="58">
        <f>IF(D30="net",C30,C31*CoefNet)</f>
        <v/>
      </c>
      <c r="I32" s="32" t="n"/>
      <c r="J32" s="32" t="n"/>
      <c r="K32" s="32" t="n"/>
      <c r="L32" s="32" t="n"/>
    </row>
    <row r="33">
      <c r="B33" s="29" t="inlineStr">
        <is>
          <t>Majoration des heures complémentaires (facultative)</t>
        </is>
      </c>
      <c r="C33" s="59" t="n">
        <v>0</v>
      </c>
    </row>
    <row r="34">
      <c r="B34" s="29" t="inlineStr">
        <is>
          <t>Majoration des heures au-delà de 45 h (10 % min.)</t>
        </is>
      </c>
      <c r="C34" s="59" t="n">
        <v>0.1</v>
      </c>
    </row>
    <row r="36" ht="22" customHeight="1">
      <c r="B36" s="25" t="inlineStr">
        <is>
          <t>5 · LES INDEMNITÉS</t>
        </is>
      </c>
      <c r="C36" s="26" t="n"/>
      <c r="D36" s="26" t="n"/>
      <c r="E36" s="26" t="n"/>
      <c r="F36" s="26" t="n"/>
    </row>
    <row r="37">
      <c r="B37" s="29" t="inlineStr">
        <is>
          <t>Indemnité d'entretien pour une journée de 9 h</t>
        </is>
      </c>
      <c r="C37" s="56" t="n">
        <v>4</v>
      </c>
      <c r="D37" s="41" t="inlineStr">
        <is>
          <t>proratisée selon la durée, 2,65 € min./jour</t>
        </is>
      </c>
    </row>
    <row r="38">
      <c r="B38" s="29" t="inlineStr">
        <is>
          <t>Les repas sont fournis par</t>
        </is>
      </c>
      <c r="C38" s="30" t="inlineStr">
        <is>
          <t>L'assistante maternelle</t>
        </is>
      </c>
      <c r="D38" s="31" t="n"/>
      <c r="E38" s="31" t="n"/>
      <c r="F38" s="31" t="n"/>
    </row>
    <row r="39">
      <c r="B39" s="29" t="inlineStr">
        <is>
          <t>Prix d'un repas fourni par l'assmat</t>
        </is>
      </c>
      <c r="C39" s="56" t="n">
        <v>3.5</v>
      </c>
    </row>
    <row r="40">
      <c r="B40" s="29" t="inlineStr">
        <is>
          <t>Repas par jour d'accueil (par défaut)</t>
        </is>
      </c>
      <c r="C40" s="60" t="n">
        <v>1</v>
      </c>
    </row>
    <row r="41">
      <c r="B41" s="29" t="inlineStr">
        <is>
          <t>Indemnité kilométrique (€ par km)</t>
        </is>
      </c>
      <c r="C41" s="61" t="n">
        <v>0</v>
      </c>
    </row>
    <row r="43" ht="22" customHeight="1">
      <c r="B43" s="25" t="inlineStr">
        <is>
          <t>6 · CONGÉS PAYÉS (ANNÉE INCOMPLÈTE)</t>
        </is>
      </c>
      <c r="C43" s="26" t="n"/>
      <c r="D43" s="26" t="n"/>
      <c r="E43" s="26" t="n"/>
      <c r="F43" s="26" t="n"/>
    </row>
    <row r="44">
      <c r="B44" s="29" t="inlineStr">
        <is>
          <t>Mode de paiement prévu au contrat</t>
        </is>
      </c>
      <c r="C44" s="30" t="inlineStr">
        <is>
          <t>Au fur et à mesure de la prise des congés</t>
        </is>
      </c>
      <c r="D44" s="31" t="n"/>
      <c r="E44" s="31" t="n"/>
      <c r="F44" s="31" t="n"/>
      <c r="G44" s="39">
        <f>IFERROR(MATCH(C44,'Barèmes'!$J$41:$J$43,0),3)</f>
        <v/>
      </c>
    </row>
    <row r="45">
      <c r="B45" s="29" t="inlineStr">
        <is>
          <t>Mois de la prise principale (si ce mode est choisi)</t>
        </is>
      </c>
      <c r="C45" s="30" t="inlineStr">
        <is>
          <t>Août 2026</t>
        </is>
      </c>
      <c r="D45" s="31" t="n"/>
      <c r="G45" s="62">
        <f>IFERROR(EDATE(DATE(2026,6,1),MATCH(C45,'Barèmes'!$K$41:$K$52,0)-1),"")</f>
        <v/>
      </c>
    </row>
    <row r="47" ht="22" customHeight="1">
      <c r="B47" s="25" t="inlineStr">
        <is>
          <t>7 · PÉRIODES SANS ACCUEIL PRÉVUES (VACANCES, CONGÉS)</t>
        </is>
      </c>
      <c r="C47" s="26" t="n"/>
      <c r="D47" s="26" t="n"/>
      <c r="E47" s="26" t="n"/>
      <c r="F47" s="26" t="n"/>
    </row>
    <row r="48">
      <c r="B48" s="47" t="inlineStr">
        <is>
          <t>Type de période</t>
        </is>
      </c>
      <c r="C48" s="48" t="inlineStr">
        <is>
          <t>Du</t>
        </is>
      </c>
      <c r="D48" s="48" t="inlineStr">
        <is>
          <t>Au</t>
        </is>
      </c>
      <c r="E48" s="47" t="inlineStr">
        <is>
          <t>Commentaire</t>
        </is>
      </c>
    </row>
    <row r="49">
      <c r="B49" s="30" t="inlineStr">
        <is>
          <t>Semaine(s) non programmée(s)</t>
        </is>
      </c>
      <c r="C49" s="37" t="n">
        <v>46230</v>
      </c>
      <c r="D49" s="37" t="n">
        <v>46236</v>
      </c>
      <c r="E49" s="30" t="inlineStr">
        <is>
          <t>Vacances des parents</t>
        </is>
      </c>
      <c r="F49" s="31" t="n"/>
      <c r="G49" s="39">
        <f>IFERROR(MATCH(B49,'Barèmes'!$I$41:$I$44,0),0)</f>
        <v/>
      </c>
    </row>
    <row r="50">
      <c r="B50" s="30" t="inlineStr">
        <is>
          <t>Congés payés de l'assmat</t>
        </is>
      </c>
      <c r="C50" s="37" t="n">
        <v>46237</v>
      </c>
      <c r="D50" s="37" t="n">
        <v>46256</v>
      </c>
      <c r="E50" s="30" t="inlineStr">
        <is>
          <t>Congés d'été de Sophie</t>
        </is>
      </c>
      <c r="F50" s="31" t="n"/>
      <c r="G50" s="39">
        <f>IFERROR(MATCH(B50,'Barèmes'!$I$41:$I$44,0),0)</f>
        <v/>
      </c>
    </row>
    <row r="51">
      <c r="B51" s="30" t="inlineStr">
        <is>
          <t>Semaine(s) non programmée(s)</t>
        </is>
      </c>
      <c r="C51" s="37" t="n">
        <v>46258</v>
      </c>
      <c r="D51" s="37" t="n">
        <v>46263</v>
      </c>
      <c r="E51" s="30" t="inlineStr"/>
      <c r="F51" s="31" t="n"/>
      <c r="G51" s="39">
        <f>IFERROR(MATCH(B51,'Barèmes'!$I$41:$I$44,0),0)</f>
        <v/>
      </c>
    </row>
    <row r="52">
      <c r="B52" s="30" t="inlineStr">
        <is>
          <t>Semaine(s) non programmée(s)</t>
        </is>
      </c>
      <c r="C52" s="37" t="n">
        <v>46314</v>
      </c>
      <c r="D52" s="37" t="n">
        <v>46326</v>
      </c>
      <c r="E52" s="30" t="inlineStr">
        <is>
          <t>Toussaint</t>
        </is>
      </c>
      <c r="F52" s="31" t="n"/>
      <c r="G52" s="39">
        <f>IFERROR(MATCH(B52,'Barèmes'!$I$41:$I$44,0),0)</f>
        <v/>
      </c>
    </row>
    <row r="53">
      <c r="B53" s="30" t="inlineStr">
        <is>
          <t>Congés payés de l'assmat</t>
        </is>
      </c>
      <c r="C53" s="37" t="n">
        <v>46377</v>
      </c>
      <c r="D53" s="37" t="n">
        <v>46382</v>
      </c>
      <c r="E53" s="30" t="inlineStr">
        <is>
          <t>Congés de Noël de Sophie</t>
        </is>
      </c>
      <c r="F53" s="31" t="n"/>
      <c r="G53" s="39">
        <f>IFERROR(MATCH(B53,'Barèmes'!$I$41:$I$44,0),0)</f>
        <v/>
      </c>
    </row>
    <row r="54">
      <c r="B54" s="30" t="inlineStr">
        <is>
          <t>Semaine(s) non programmée(s)</t>
        </is>
      </c>
      <c r="C54" s="37" t="n">
        <v>46384</v>
      </c>
      <c r="D54" s="37" t="n">
        <v>46389</v>
      </c>
      <c r="E54" s="30" t="inlineStr"/>
      <c r="F54" s="31" t="n"/>
      <c r="G54" s="39">
        <f>IFERROR(MATCH(B54,'Barèmes'!$I$41:$I$44,0),0)</f>
        <v/>
      </c>
    </row>
    <row r="55">
      <c r="B55" s="30" t="inlineStr">
        <is>
          <t>Semaine(s) non programmée(s)</t>
        </is>
      </c>
      <c r="C55" s="37" t="n">
        <v>46433</v>
      </c>
      <c r="D55" s="37" t="n">
        <v>46438</v>
      </c>
      <c r="E55" s="30" t="inlineStr">
        <is>
          <t>Vacances d'hiver</t>
        </is>
      </c>
      <c r="F55" s="31" t="n"/>
      <c r="G55" s="39">
        <f>IFERROR(MATCH(B55,'Barèmes'!$I$41:$I$44,0),0)</f>
        <v/>
      </c>
    </row>
    <row r="56">
      <c r="B56" s="30" t="n"/>
      <c r="C56" s="37" t="n"/>
      <c r="D56" s="37" t="n"/>
      <c r="E56" s="30" t="n"/>
      <c r="F56" s="31" t="n"/>
      <c r="G56" s="39">
        <f>IFERROR(MATCH(B56,'Barèmes'!$I$41:$I$44,0),0)</f>
        <v/>
      </c>
    </row>
    <row r="57">
      <c r="B57" s="30" t="n"/>
      <c r="C57" s="37" t="n"/>
      <c r="D57" s="37" t="n"/>
      <c r="E57" s="30" t="n"/>
      <c r="F57" s="31" t="n"/>
      <c r="G57" s="39">
        <f>IFERROR(MATCH(B57,'Barèmes'!$I$41:$I$44,0),0)</f>
        <v/>
      </c>
    </row>
    <row r="58">
      <c r="B58" s="30" t="n"/>
      <c r="C58" s="37" t="n"/>
      <c r="D58" s="37" t="n"/>
      <c r="E58" s="30" t="n"/>
      <c r="F58" s="31" t="n"/>
      <c r="G58" s="39">
        <f>IFERROR(MATCH(B58,'Barèmes'!$I$41:$I$44,0),0)</f>
        <v/>
      </c>
    </row>
    <row r="59">
      <c r="B59" s="30" t="n"/>
      <c r="C59" s="37" t="n"/>
      <c r="D59" s="37" t="n"/>
      <c r="E59" s="30" t="n"/>
      <c r="F59" s="31" t="n"/>
      <c r="G59" s="39">
        <f>IFERROR(MATCH(B59,'Barèmes'!$I$41:$I$44,0),0)</f>
        <v/>
      </c>
    </row>
    <row r="60">
      <c r="B60" s="30" t="n"/>
      <c r="C60" s="37" t="n"/>
      <c r="D60" s="37" t="n"/>
      <c r="E60" s="30" t="n"/>
      <c r="F60" s="31" t="n"/>
      <c r="G60" s="39">
        <f>IFERROR(MATCH(B60,'Barèmes'!$I$41:$I$44,0),0)</f>
        <v/>
      </c>
    </row>
    <row r="61" ht="28" customHeight="1">
      <c r="B61" s="63" t="inlineStr">
        <is>
          <t>Les dates « Du » et « Au » sont incluses. Les périodes ne doivent pas se chevaucher. Les jours de ces périodes sont préremplis dans les feuilles mensuelles.</t>
        </is>
      </c>
    </row>
  </sheetData>
  <sheetProtection selectLockedCells="0" selectUnlockedCells="0" sheet="1" objects="0" insertRows="1" insertHyperlinks="1" autoFilter="1" scenarios="0" formatColumns="0" deleteColumns="1" insertColumns="1" pivotTables="1" deleteRows="1" formatCells="1" formatRows="0" sort="1"/>
  <mergeCells count="50">
    <mergeCell ref="E50:F50"/>
    <mergeCell ref="D13:F13"/>
    <mergeCell ref="B47:F47"/>
    <mergeCell ref="C8:F8"/>
    <mergeCell ref="E55:F55"/>
    <mergeCell ref="C7:F7"/>
    <mergeCell ref="C38:F38"/>
    <mergeCell ref="C45:D45"/>
    <mergeCell ref="I20:L20"/>
    <mergeCell ref="E52:F52"/>
    <mergeCell ref="I16:L17"/>
    <mergeCell ref="I19:L19"/>
    <mergeCell ref="I13:L13"/>
    <mergeCell ref="B43:F43"/>
    <mergeCell ref="E51:F51"/>
    <mergeCell ref="D37:F37"/>
    <mergeCell ref="I14:K14"/>
    <mergeCell ref="C6:F6"/>
    <mergeCell ref="I8:K8"/>
    <mergeCell ref="B61:F61"/>
    <mergeCell ref="E60:F60"/>
    <mergeCell ref="B17:F17"/>
    <mergeCell ref="D15:F15"/>
    <mergeCell ref="E59:F59"/>
    <mergeCell ref="B29:F29"/>
    <mergeCell ref="I10:K10"/>
    <mergeCell ref="E30:F30"/>
    <mergeCell ref="I26:L26"/>
    <mergeCell ref="E58:F58"/>
    <mergeCell ref="B10:F10"/>
    <mergeCell ref="E49:F49"/>
    <mergeCell ref="I9:K9"/>
    <mergeCell ref="I25:L25"/>
    <mergeCell ref="I15:K15"/>
    <mergeCell ref="C44:F44"/>
    <mergeCell ref="I6:K6"/>
    <mergeCell ref="E57:F57"/>
    <mergeCell ref="I22:L22"/>
    <mergeCell ref="I11:K11"/>
    <mergeCell ref="E54:F54"/>
    <mergeCell ref="I21:L21"/>
    <mergeCell ref="C12:F12"/>
    <mergeCell ref="B5:F5"/>
    <mergeCell ref="E53:F53"/>
    <mergeCell ref="B36:F36"/>
    <mergeCell ref="I24:L24"/>
    <mergeCell ref="E56:F56"/>
    <mergeCell ref="I7:K7"/>
    <mergeCell ref="I5:L5"/>
    <mergeCell ref="I23:L23"/>
  </mergeCells>
  <conditionalFormatting sqref="I20:L26">
    <cfRule type="expression" priority="1" dxfId="0">
      <formula>LEFT($I20,1)="⚠"</formula>
    </cfRule>
    <cfRule type="expression" priority="2" dxfId="1">
      <formula>LEFT($I20,1)="•"</formula>
    </cfRule>
  </conditionalFormatting>
  <dataValidations count="9">
    <dataValidation sqref="C12" showDropDown="0" showInputMessage="0" showErrorMessage="1" allowBlank="1" errorTitle="Valeur non reconnue" error="Choisissez une valeur dans la liste." type="list">
      <formula1>'Barèmes'!$N$41:$N$42</formula1>
    </dataValidation>
    <dataValidation sqref="C14" showDropDown="0" showInputMessage="0" showErrorMessage="1" allowBlank="1" errorTitle="Valeur non reconnue" error="Choisissez une valeur dans la liste." type="list">
      <formula1>'Barèmes'!$L$41:$L$42</formula1>
    </dataValidation>
    <dataValidation sqref="D30" showDropDown="0" showInputMessage="0" showErrorMessage="1" allowBlank="1" errorTitle="Valeur non reconnue" error="Choisissez une valeur dans la liste." type="list">
      <formula1>'Barèmes'!$M$41:$M$42</formula1>
    </dataValidation>
    <dataValidation sqref="C38" showDropDown="0" showInputMessage="0" showErrorMessage="1" allowBlank="1" errorTitle="Valeur non reconnue" error="Choisissez une valeur dans la liste." type="list">
      <formula1>'Barèmes'!$P$41:$P$42</formula1>
    </dataValidation>
    <dataValidation sqref="C44" showDropDown="0" showInputMessage="0" showErrorMessage="1" allowBlank="1" errorTitle="Valeur non reconnue" error="Choisissez une valeur dans la liste." type="list">
      <formula1>'Barèmes'!$J$41:$J$43</formula1>
    </dataValidation>
    <dataValidation sqref="C45" showDropDown="0" showInputMessage="0" showErrorMessage="1" allowBlank="1" errorTitle="Valeur non reconnue" error="Choisissez une valeur dans la liste." type="list">
      <formula1>'Barèmes'!$K$41:$K$52</formula1>
    </dataValidation>
    <dataValidation sqref="B49:B60" showDropDown="0" showInputMessage="0" showErrorMessage="1" allowBlank="1" errorTitle="Valeur non reconnue" error="Choisissez une valeur dans la liste." type="list">
      <formula1>'Barèmes'!$I$41:$I$44</formula1>
    </dataValidation>
    <dataValidation sqref="C13" showDropDown="0" showInputMessage="0" showErrorMessage="1" allowBlank="1" error="Entre 1 et 52 semaines." type="whole" operator="between">
      <formula1>1</formula1>
      <formula2>52</formula2>
    </dataValidation>
    <dataValidation sqref="C11 C49:D60" showDropDown="0" showInputMessage="0" showErrorMessage="1" allowBlank="1" error="Saisissez une date (jj/mm/aaaa)." type="date" operator="between">
      <formula1>DATE(2000,1,1)</formula1>
      <formula2>DATE(2040,12,31)</formula2>
    </dataValidation>
  </dataValidations>
  <printOptions horizontalCentered="1"/>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B7862C"/>
    <outlinePr summaryBelow="1" summaryRight="1"/>
    <pageSetUpPr fitToPage="1"/>
  </sheetPr>
  <dimension ref="B2:V25"/>
  <sheetViews>
    <sheetView showGridLines="0" zoomScale="100" workbookViewId="0">
      <selection activeCell="A1" sqref="A1"/>
    </sheetView>
  </sheetViews>
  <sheetFormatPr baseColWidth="8" defaultRowHeight="15"/>
  <cols>
    <col width="2" customWidth="1" min="1" max="1"/>
    <col width="17"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hidden="1" width="13" customWidth="1" min="18" max="18"/>
    <col hidden="1" width="13" customWidth="1" min="19" max="19"/>
    <col hidden="1" width="13" customWidth="1" min="20" max="20"/>
    <col hidden="1" width="13" customWidth="1" min="21" max="21"/>
    <col hidden="1" width="13" customWidth="1" min="22" max="22"/>
  </cols>
  <sheetData>
    <row r="1" ht="10" customHeight="1"/>
    <row r="2" ht="34" customHeight="1">
      <c r="B2" s="22" t="inlineStr">
        <is>
          <t>Récapitulatif annuel</t>
        </is>
      </c>
      <c r="Q2" s="23" t="inlineStr">
        <is>
          <t>Nid Serein · Édition 2026-2027</t>
        </is>
      </c>
    </row>
    <row r="3" ht="20" customHeight="1">
      <c r="B3" s="24" t="inlineStr">
        <is>
          <t>Toute l'année d'un coup d'œil — utile pour la déclaration d'impôts et les congés payés.</t>
        </is>
      </c>
    </row>
    <row r="5">
      <c r="B5" s="64" t="inlineStr">
        <is>
          <t>TOTAL VERSÉ À L'ASSMAT</t>
        </is>
      </c>
      <c r="C5" s="26" t="n"/>
      <c r="D5" s="26" t="n"/>
      <c r="F5" s="64" t="inlineStr">
        <is>
          <t>SALAIRES NETS DÉCLARÉS</t>
        </is>
      </c>
      <c r="G5" s="26" t="n"/>
      <c r="H5" s="26" t="n"/>
      <c r="J5" s="64" t="inlineStr">
        <is>
          <t>INDEMNITÉS VERSÉES</t>
        </is>
      </c>
      <c r="K5" s="26" t="n"/>
      <c r="L5" s="26" t="n"/>
      <c r="N5" s="64" t="inlineStr">
        <is>
          <t>HEURES D'ACCUEIL RÉALISÉES</t>
        </is>
      </c>
      <c r="O5" s="26" t="n"/>
      <c r="P5" s="26" t="n"/>
      <c r="Q5" s="26" t="n"/>
    </row>
    <row r="6">
      <c r="B6" s="65">
        <f>L23</f>
        <v/>
      </c>
      <c r="C6" s="26" t="n"/>
      <c r="D6" s="26" t="n"/>
      <c r="F6" s="65">
        <f>H23</f>
        <v/>
      </c>
      <c r="G6" s="26" t="n"/>
      <c r="H6" s="26" t="n"/>
      <c r="J6" s="65">
        <f>I23+J23+K23+IndemRupture</f>
        <v/>
      </c>
      <c r="K6" s="26" t="n"/>
      <c r="L6" s="26" t="n"/>
      <c r="N6" s="66">
        <f>P23</f>
        <v/>
      </c>
      <c r="O6" s="26" t="n"/>
      <c r="P6" s="26" t="n"/>
      <c r="Q6" s="26" t="n"/>
    </row>
    <row r="7">
      <c r="B7" s="26" t="n"/>
      <c r="C7" s="26" t="n"/>
      <c r="D7" s="26" t="n"/>
      <c r="F7" s="26" t="n"/>
      <c r="G7" s="26" t="n"/>
      <c r="H7" s="26" t="n"/>
      <c r="J7" s="26" t="n"/>
      <c r="K7" s="26" t="n"/>
      <c r="L7" s="26" t="n"/>
      <c r="N7" s="26" t="n"/>
      <c r="O7" s="26" t="n"/>
      <c r="P7" s="26" t="n"/>
      <c r="Q7" s="26" t="n"/>
    </row>
    <row r="10" ht="30" customHeight="1">
      <c r="B10" s="67" t="inlineStr">
        <is>
          <t>Mois</t>
        </is>
      </c>
      <c r="C10" s="67" t="inlineStr">
        <is>
          <t>Salaire brut</t>
        </is>
      </c>
      <c r="D10" s="67" t="inlineStr">
        <is>
          <t>dont retenues</t>
        </is>
      </c>
      <c r="E10" s="67" t="inlineStr">
        <is>
          <t>H. compl.</t>
        </is>
      </c>
      <c r="F10" s="67" t="inlineStr">
        <is>
          <t>H. major.</t>
        </is>
      </c>
      <c r="G10" s="67" t="inlineStr">
        <is>
          <t>CP versés</t>
        </is>
      </c>
      <c r="H10" s="67" t="inlineStr">
        <is>
          <t>Net déclaré</t>
        </is>
      </c>
      <c r="I10" s="67" t="inlineStr">
        <is>
          <t>Entretien</t>
        </is>
      </c>
      <c r="J10" s="67" t="inlineStr">
        <is>
          <t>Repas</t>
        </is>
      </c>
      <c r="K10" s="67" t="inlineStr">
        <is>
          <t>Km</t>
        </is>
      </c>
      <c r="L10" s="67" t="inlineStr">
        <is>
          <t>Total versé</t>
        </is>
      </c>
      <c r="M10" s="67" t="inlineStr">
        <is>
          <t>Heures norm. (Paj.)</t>
        </is>
      </c>
      <c r="N10" s="67" t="inlineStr">
        <is>
          <t>Jours activité</t>
        </is>
      </c>
      <c r="O10" s="67" t="inlineStr">
        <is>
          <t>Jours CP (Paj.)</t>
        </is>
      </c>
      <c r="P10" s="67" t="inlineStr">
        <is>
          <t>Heures réalisées</t>
        </is>
      </c>
      <c r="Q10" s="67" t="inlineStr">
        <is>
          <t>Maladie enfant (j)</t>
        </is>
      </c>
    </row>
    <row r="11">
      <c r="B11" s="68" t="inlineStr">
        <is>
          <t>Juin 2026</t>
        </is>
      </c>
      <c r="C11" s="69">
        <f>'Juin 2026'!F15</f>
        <v/>
      </c>
      <c r="D11" s="69">
        <f>'Juin 2026'!F7</f>
        <v/>
      </c>
      <c r="E11" s="70">
        <f>'Juin 2026'!E8</f>
        <v/>
      </c>
      <c r="F11" s="70">
        <f>'Juin 2026'!E9</f>
        <v/>
      </c>
      <c r="G11" s="69">
        <f>'Juin 2026'!F11</f>
        <v/>
      </c>
      <c r="H11" s="69">
        <f>'Juin 2026'!K11</f>
        <v/>
      </c>
      <c r="I11" s="69">
        <f>'Juin 2026'!K12</f>
        <v/>
      </c>
      <c r="J11" s="69">
        <f>'Juin 2026'!K13</f>
        <v/>
      </c>
      <c r="K11" s="69">
        <f>'Juin 2026'!K14</f>
        <v/>
      </c>
      <c r="L11" s="71">
        <f>'Juin 2026'!M11</f>
        <v/>
      </c>
      <c r="M11" s="72">
        <f>'Juin 2026'!K6</f>
        <v/>
      </c>
      <c r="N11" s="72">
        <f>'Juin 2026'!K7</f>
        <v/>
      </c>
      <c r="O11" s="72">
        <f>'Juin 2026'!K8</f>
        <v/>
      </c>
      <c r="P11" s="70">
        <f>'Juin 2026'!AB16</f>
        <v/>
      </c>
      <c r="Q11" s="72">
        <f>'Juin 2026'!AB11</f>
        <v/>
      </c>
      <c r="R11" s="73">
        <f>'Juin 2026'!AB2</f>
        <v/>
      </c>
      <c r="S11" s="74">
        <f>'Juin 2026'!AB12</f>
        <v/>
      </c>
      <c r="T11" s="74">
        <f>'Juin 2026'!AB13</f>
        <v/>
      </c>
      <c r="U11" s="74">
        <f>'Juin 2026'!AB15</f>
        <v/>
      </c>
      <c r="V11" s="75">
        <f>'Juin 2026'!AB19</f>
        <v/>
      </c>
    </row>
    <row r="12">
      <c r="B12" s="76" t="inlineStr">
        <is>
          <t>Juillet 2026</t>
        </is>
      </c>
      <c r="C12" s="77">
        <f>'Juillet 2026'!F15</f>
        <v/>
      </c>
      <c r="D12" s="77">
        <f>'Juillet 2026'!F7</f>
        <v/>
      </c>
      <c r="E12" s="78">
        <f>'Juillet 2026'!E8</f>
        <v/>
      </c>
      <c r="F12" s="78">
        <f>'Juillet 2026'!E9</f>
        <v/>
      </c>
      <c r="G12" s="77">
        <f>'Juillet 2026'!F11</f>
        <v/>
      </c>
      <c r="H12" s="77">
        <f>'Juillet 2026'!K11</f>
        <v/>
      </c>
      <c r="I12" s="77">
        <f>'Juillet 2026'!K12</f>
        <v/>
      </c>
      <c r="J12" s="77">
        <f>'Juillet 2026'!K13</f>
        <v/>
      </c>
      <c r="K12" s="77">
        <f>'Juillet 2026'!K14</f>
        <v/>
      </c>
      <c r="L12" s="79">
        <f>'Juillet 2026'!M11</f>
        <v/>
      </c>
      <c r="M12" s="80">
        <f>'Juillet 2026'!K6</f>
        <v/>
      </c>
      <c r="N12" s="80">
        <f>'Juillet 2026'!K7</f>
        <v/>
      </c>
      <c r="O12" s="80">
        <f>'Juillet 2026'!K8</f>
        <v/>
      </c>
      <c r="P12" s="78">
        <f>'Juillet 2026'!AB16</f>
        <v/>
      </c>
      <c r="Q12" s="80">
        <f>'Juillet 2026'!AB11</f>
        <v/>
      </c>
      <c r="R12" s="81">
        <f>'Juillet 2026'!AB2</f>
        <v/>
      </c>
      <c r="S12" s="82">
        <f>'Juillet 2026'!AB12</f>
        <v/>
      </c>
      <c r="T12" s="82">
        <f>'Juillet 2026'!AB13</f>
        <v/>
      </c>
      <c r="U12" s="82">
        <f>'Juillet 2026'!AB15</f>
        <v/>
      </c>
      <c r="V12" s="83">
        <f>'Juillet 2026'!AB19</f>
        <v/>
      </c>
    </row>
    <row r="13">
      <c r="B13" s="68" t="inlineStr">
        <is>
          <t>Août 2026</t>
        </is>
      </c>
      <c r="C13" s="69">
        <f>'Août 2026'!F15</f>
        <v/>
      </c>
      <c r="D13" s="69">
        <f>'Août 2026'!F7</f>
        <v/>
      </c>
      <c r="E13" s="70">
        <f>'Août 2026'!E8</f>
        <v/>
      </c>
      <c r="F13" s="70">
        <f>'Août 2026'!E9</f>
        <v/>
      </c>
      <c r="G13" s="69">
        <f>'Août 2026'!F11</f>
        <v/>
      </c>
      <c r="H13" s="69">
        <f>'Août 2026'!K11</f>
        <v/>
      </c>
      <c r="I13" s="69">
        <f>'Août 2026'!K12</f>
        <v/>
      </c>
      <c r="J13" s="69">
        <f>'Août 2026'!K13</f>
        <v/>
      </c>
      <c r="K13" s="69">
        <f>'Août 2026'!K14</f>
        <v/>
      </c>
      <c r="L13" s="71">
        <f>'Août 2026'!M11</f>
        <v/>
      </c>
      <c r="M13" s="72">
        <f>'Août 2026'!K6</f>
        <v/>
      </c>
      <c r="N13" s="72">
        <f>'Août 2026'!K7</f>
        <v/>
      </c>
      <c r="O13" s="72">
        <f>'Août 2026'!K8</f>
        <v/>
      </c>
      <c r="P13" s="70">
        <f>'Août 2026'!AB16</f>
        <v/>
      </c>
      <c r="Q13" s="72">
        <f>'Août 2026'!AB11</f>
        <v/>
      </c>
      <c r="R13" s="73">
        <f>'Août 2026'!AB2</f>
        <v/>
      </c>
      <c r="S13" s="74">
        <f>'Août 2026'!AB12</f>
        <v/>
      </c>
      <c r="T13" s="74">
        <f>'Août 2026'!AB13</f>
        <v/>
      </c>
      <c r="U13" s="74">
        <f>'Août 2026'!AB15</f>
        <v/>
      </c>
      <c r="V13" s="75">
        <f>'Août 2026'!AB19</f>
        <v/>
      </c>
    </row>
    <row r="14">
      <c r="B14" s="76" t="inlineStr">
        <is>
          <t>Septembre 2026</t>
        </is>
      </c>
      <c r="C14" s="77">
        <f>'Septembre 2026'!F15</f>
        <v/>
      </c>
      <c r="D14" s="77">
        <f>'Septembre 2026'!F7</f>
        <v/>
      </c>
      <c r="E14" s="78">
        <f>'Septembre 2026'!E8</f>
        <v/>
      </c>
      <c r="F14" s="78">
        <f>'Septembre 2026'!E9</f>
        <v/>
      </c>
      <c r="G14" s="77">
        <f>'Septembre 2026'!F11</f>
        <v/>
      </c>
      <c r="H14" s="77">
        <f>'Septembre 2026'!K11</f>
        <v/>
      </c>
      <c r="I14" s="77">
        <f>'Septembre 2026'!K12</f>
        <v/>
      </c>
      <c r="J14" s="77">
        <f>'Septembre 2026'!K13</f>
        <v/>
      </c>
      <c r="K14" s="77">
        <f>'Septembre 2026'!K14</f>
        <v/>
      </c>
      <c r="L14" s="79">
        <f>'Septembre 2026'!M11</f>
        <v/>
      </c>
      <c r="M14" s="80">
        <f>'Septembre 2026'!K6</f>
        <v/>
      </c>
      <c r="N14" s="80">
        <f>'Septembre 2026'!K7</f>
        <v/>
      </c>
      <c r="O14" s="80">
        <f>'Septembre 2026'!K8</f>
        <v/>
      </c>
      <c r="P14" s="78">
        <f>'Septembre 2026'!AB16</f>
        <v/>
      </c>
      <c r="Q14" s="80">
        <f>'Septembre 2026'!AB11</f>
        <v/>
      </c>
      <c r="R14" s="81">
        <f>'Septembre 2026'!AB2</f>
        <v/>
      </c>
      <c r="S14" s="82">
        <f>'Septembre 2026'!AB12</f>
        <v/>
      </c>
      <c r="T14" s="82">
        <f>'Septembre 2026'!AB13</f>
        <v/>
      </c>
      <c r="U14" s="82">
        <f>'Septembre 2026'!AB15</f>
        <v/>
      </c>
      <c r="V14" s="83">
        <f>'Septembre 2026'!AB19</f>
        <v/>
      </c>
    </row>
    <row r="15">
      <c r="B15" s="68" t="inlineStr">
        <is>
          <t>Octobre 2026</t>
        </is>
      </c>
      <c r="C15" s="69">
        <f>'Octobre 2026'!F15</f>
        <v/>
      </c>
      <c r="D15" s="69">
        <f>'Octobre 2026'!F7</f>
        <v/>
      </c>
      <c r="E15" s="70">
        <f>'Octobre 2026'!E8</f>
        <v/>
      </c>
      <c r="F15" s="70">
        <f>'Octobre 2026'!E9</f>
        <v/>
      </c>
      <c r="G15" s="69">
        <f>'Octobre 2026'!F11</f>
        <v/>
      </c>
      <c r="H15" s="69">
        <f>'Octobre 2026'!K11</f>
        <v/>
      </c>
      <c r="I15" s="69">
        <f>'Octobre 2026'!K12</f>
        <v/>
      </c>
      <c r="J15" s="69">
        <f>'Octobre 2026'!K13</f>
        <v/>
      </c>
      <c r="K15" s="69">
        <f>'Octobre 2026'!K14</f>
        <v/>
      </c>
      <c r="L15" s="71">
        <f>'Octobre 2026'!M11</f>
        <v/>
      </c>
      <c r="M15" s="72">
        <f>'Octobre 2026'!K6</f>
        <v/>
      </c>
      <c r="N15" s="72">
        <f>'Octobre 2026'!K7</f>
        <v/>
      </c>
      <c r="O15" s="72">
        <f>'Octobre 2026'!K8</f>
        <v/>
      </c>
      <c r="P15" s="70">
        <f>'Octobre 2026'!AB16</f>
        <v/>
      </c>
      <c r="Q15" s="72">
        <f>'Octobre 2026'!AB11</f>
        <v/>
      </c>
      <c r="R15" s="73">
        <f>'Octobre 2026'!AB2</f>
        <v/>
      </c>
      <c r="S15" s="74">
        <f>'Octobre 2026'!AB12</f>
        <v/>
      </c>
      <c r="T15" s="74">
        <f>'Octobre 2026'!AB13</f>
        <v/>
      </c>
      <c r="U15" s="74">
        <f>'Octobre 2026'!AB15</f>
        <v/>
      </c>
      <c r="V15" s="75">
        <f>'Octobre 2026'!AB19</f>
        <v/>
      </c>
    </row>
    <row r="16">
      <c r="B16" s="76" t="inlineStr">
        <is>
          <t>Novembre 2026</t>
        </is>
      </c>
      <c r="C16" s="77">
        <f>'Novembre 2026'!F15</f>
        <v/>
      </c>
      <c r="D16" s="77">
        <f>'Novembre 2026'!F7</f>
        <v/>
      </c>
      <c r="E16" s="78">
        <f>'Novembre 2026'!E8</f>
        <v/>
      </c>
      <c r="F16" s="78">
        <f>'Novembre 2026'!E9</f>
        <v/>
      </c>
      <c r="G16" s="77">
        <f>'Novembre 2026'!F11</f>
        <v/>
      </c>
      <c r="H16" s="77">
        <f>'Novembre 2026'!K11</f>
        <v/>
      </c>
      <c r="I16" s="77">
        <f>'Novembre 2026'!K12</f>
        <v/>
      </c>
      <c r="J16" s="77">
        <f>'Novembre 2026'!K13</f>
        <v/>
      </c>
      <c r="K16" s="77">
        <f>'Novembre 2026'!K14</f>
        <v/>
      </c>
      <c r="L16" s="79">
        <f>'Novembre 2026'!M11</f>
        <v/>
      </c>
      <c r="M16" s="80">
        <f>'Novembre 2026'!K6</f>
        <v/>
      </c>
      <c r="N16" s="80">
        <f>'Novembre 2026'!K7</f>
        <v/>
      </c>
      <c r="O16" s="80">
        <f>'Novembre 2026'!K8</f>
        <v/>
      </c>
      <c r="P16" s="78">
        <f>'Novembre 2026'!AB16</f>
        <v/>
      </c>
      <c r="Q16" s="80">
        <f>'Novembre 2026'!AB11</f>
        <v/>
      </c>
      <c r="R16" s="81">
        <f>'Novembre 2026'!AB2</f>
        <v/>
      </c>
      <c r="S16" s="82">
        <f>'Novembre 2026'!AB12</f>
        <v/>
      </c>
      <c r="T16" s="82">
        <f>'Novembre 2026'!AB13</f>
        <v/>
      </c>
      <c r="U16" s="82">
        <f>'Novembre 2026'!AB15</f>
        <v/>
      </c>
      <c r="V16" s="83">
        <f>'Novembre 2026'!AB19</f>
        <v/>
      </c>
    </row>
    <row r="17">
      <c r="B17" s="68" t="inlineStr">
        <is>
          <t>Décembre 2026</t>
        </is>
      </c>
      <c r="C17" s="69">
        <f>'Décembre 2026'!F15</f>
        <v/>
      </c>
      <c r="D17" s="69">
        <f>'Décembre 2026'!F7</f>
        <v/>
      </c>
      <c r="E17" s="70">
        <f>'Décembre 2026'!E8</f>
        <v/>
      </c>
      <c r="F17" s="70">
        <f>'Décembre 2026'!E9</f>
        <v/>
      </c>
      <c r="G17" s="69">
        <f>'Décembre 2026'!F11</f>
        <v/>
      </c>
      <c r="H17" s="69">
        <f>'Décembre 2026'!K11</f>
        <v/>
      </c>
      <c r="I17" s="69">
        <f>'Décembre 2026'!K12</f>
        <v/>
      </c>
      <c r="J17" s="69">
        <f>'Décembre 2026'!K13</f>
        <v/>
      </c>
      <c r="K17" s="69">
        <f>'Décembre 2026'!K14</f>
        <v/>
      </c>
      <c r="L17" s="71">
        <f>'Décembre 2026'!M11</f>
        <v/>
      </c>
      <c r="M17" s="72">
        <f>'Décembre 2026'!K6</f>
        <v/>
      </c>
      <c r="N17" s="72">
        <f>'Décembre 2026'!K7</f>
        <v/>
      </c>
      <c r="O17" s="72">
        <f>'Décembre 2026'!K8</f>
        <v/>
      </c>
      <c r="P17" s="70">
        <f>'Décembre 2026'!AB16</f>
        <v/>
      </c>
      <c r="Q17" s="72">
        <f>'Décembre 2026'!AB11</f>
        <v/>
      </c>
      <c r="R17" s="73">
        <f>'Décembre 2026'!AB2</f>
        <v/>
      </c>
      <c r="S17" s="74">
        <f>'Décembre 2026'!AB12</f>
        <v/>
      </c>
      <c r="T17" s="74">
        <f>'Décembre 2026'!AB13</f>
        <v/>
      </c>
      <c r="U17" s="74">
        <f>'Décembre 2026'!AB15</f>
        <v/>
      </c>
      <c r="V17" s="75">
        <f>'Décembre 2026'!AB19</f>
        <v/>
      </c>
    </row>
    <row r="18">
      <c r="B18" s="76" t="inlineStr">
        <is>
          <t>Janvier 2027</t>
        </is>
      </c>
      <c r="C18" s="77">
        <f>'Janvier 2027'!F15</f>
        <v/>
      </c>
      <c r="D18" s="77">
        <f>'Janvier 2027'!F7</f>
        <v/>
      </c>
      <c r="E18" s="78">
        <f>'Janvier 2027'!E8</f>
        <v/>
      </c>
      <c r="F18" s="78">
        <f>'Janvier 2027'!E9</f>
        <v/>
      </c>
      <c r="G18" s="77">
        <f>'Janvier 2027'!F11</f>
        <v/>
      </c>
      <c r="H18" s="77">
        <f>'Janvier 2027'!K11</f>
        <v/>
      </c>
      <c r="I18" s="77">
        <f>'Janvier 2027'!K12</f>
        <v/>
      </c>
      <c r="J18" s="77">
        <f>'Janvier 2027'!K13</f>
        <v/>
      </c>
      <c r="K18" s="77">
        <f>'Janvier 2027'!K14</f>
        <v/>
      </c>
      <c r="L18" s="79">
        <f>'Janvier 2027'!M11</f>
        <v/>
      </c>
      <c r="M18" s="80">
        <f>'Janvier 2027'!K6</f>
        <v/>
      </c>
      <c r="N18" s="80">
        <f>'Janvier 2027'!K7</f>
        <v/>
      </c>
      <c r="O18" s="80">
        <f>'Janvier 2027'!K8</f>
        <v/>
      </c>
      <c r="P18" s="78">
        <f>'Janvier 2027'!AB16</f>
        <v/>
      </c>
      <c r="Q18" s="80">
        <f>'Janvier 2027'!AB11</f>
        <v/>
      </c>
      <c r="R18" s="81">
        <f>'Janvier 2027'!AB2</f>
        <v/>
      </c>
      <c r="S18" s="82">
        <f>'Janvier 2027'!AB12</f>
        <v/>
      </c>
      <c r="T18" s="82">
        <f>'Janvier 2027'!AB13</f>
        <v/>
      </c>
      <c r="U18" s="82">
        <f>'Janvier 2027'!AB15</f>
        <v/>
      </c>
      <c r="V18" s="83">
        <f>'Janvier 2027'!AB19</f>
        <v/>
      </c>
    </row>
    <row r="19">
      <c r="B19" s="68" t="inlineStr">
        <is>
          <t>Février 2027</t>
        </is>
      </c>
      <c r="C19" s="69">
        <f>'Février 2027'!F15</f>
        <v/>
      </c>
      <c r="D19" s="69">
        <f>'Février 2027'!F7</f>
        <v/>
      </c>
      <c r="E19" s="70">
        <f>'Février 2027'!E8</f>
        <v/>
      </c>
      <c r="F19" s="70">
        <f>'Février 2027'!E9</f>
        <v/>
      </c>
      <c r="G19" s="69">
        <f>'Février 2027'!F11</f>
        <v/>
      </c>
      <c r="H19" s="69">
        <f>'Février 2027'!K11</f>
        <v/>
      </c>
      <c r="I19" s="69">
        <f>'Février 2027'!K12</f>
        <v/>
      </c>
      <c r="J19" s="69">
        <f>'Février 2027'!K13</f>
        <v/>
      </c>
      <c r="K19" s="69">
        <f>'Février 2027'!K14</f>
        <v/>
      </c>
      <c r="L19" s="71">
        <f>'Février 2027'!M11</f>
        <v/>
      </c>
      <c r="M19" s="72">
        <f>'Février 2027'!K6</f>
        <v/>
      </c>
      <c r="N19" s="72">
        <f>'Février 2027'!K7</f>
        <v/>
      </c>
      <c r="O19" s="72">
        <f>'Février 2027'!K8</f>
        <v/>
      </c>
      <c r="P19" s="70">
        <f>'Février 2027'!AB16</f>
        <v/>
      </c>
      <c r="Q19" s="72">
        <f>'Février 2027'!AB11</f>
        <v/>
      </c>
      <c r="R19" s="73">
        <f>'Février 2027'!AB2</f>
        <v/>
      </c>
      <c r="S19" s="74">
        <f>'Février 2027'!AB12</f>
        <v/>
      </c>
      <c r="T19" s="74">
        <f>'Février 2027'!AB13</f>
        <v/>
      </c>
      <c r="U19" s="74">
        <f>'Février 2027'!AB15</f>
        <v/>
      </c>
      <c r="V19" s="75">
        <f>'Février 2027'!AB19</f>
        <v/>
      </c>
    </row>
    <row r="20">
      <c r="B20" s="76" t="inlineStr">
        <is>
          <t>Mars 2027</t>
        </is>
      </c>
      <c r="C20" s="77">
        <f>'Mars 2027'!F15</f>
        <v/>
      </c>
      <c r="D20" s="77">
        <f>'Mars 2027'!F7</f>
        <v/>
      </c>
      <c r="E20" s="78">
        <f>'Mars 2027'!E8</f>
        <v/>
      </c>
      <c r="F20" s="78">
        <f>'Mars 2027'!E9</f>
        <v/>
      </c>
      <c r="G20" s="77">
        <f>'Mars 2027'!F11</f>
        <v/>
      </c>
      <c r="H20" s="77">
        <f>'Mars 2027'!K11</f>
        <v/>
      </c>
      <c r="I20" s="77">
        <f>'Mars 2027'!K12</f>
        <v/>
      </c>
      <c r="J20" s="77">
        <f>'Mars 2027'!K13</f>
        <v/>
      </c>
      <c r="K20" s="77">
        <f>'Mars 2027'!K14</f>
        <v/>
      </c>
      <c r="L20" s="79">
        <f>'Mars 2027'!M11</f>
        <v/>
      </c>
      <c r="M20" s="80">
        <f>'Mars 2027'!K6</f>
        <v/>
      </c>
      <c r="N20" s="80">
        <f>'Mars 2027'!K7</f>
        <v/>
      </c>
      <c r="O20" s="80">
        <f>'Mars 2027'!K8</f>
        <v/>
      </c>
      <c r="P20" s="78">
        <f>'Mars 2027'!AB16</f>
        <v/>
      </c>
      <c r="Q20" s="80">
        <f>'Mars 2027'!AB11</f>
        <v/>
      </c>
      <c r="R20" s="81">
        <f>'Mars 2027'!AB2</f>
        <v/>
      </c>
      <c r="S20" s="82">
        <f>'Mars 2027'!AB12</f>
        <v/>
      </c>
      <c r="T20" s="82">
        <f>'Mars 2027'!AB13</f>
        <v/>
      </c>
      <c r="U20" s="82">
        <f>'Mars 2027'!AB15</f>
        <v/>
      </c>
      <c r="V20" s="83">
        <f>'Mars 2027'!AB19</f>
        <v/>
      </c>
    </row>
    <row r="21">
      <c r="B21" s="68" t="inlineStr">
        <is>
          <t>Avril 2027</t>
        </is>
      </c>
      <c r="C21" s="69">
        <f>'Avril 2027'!F15</f>
        <v/>
      </c>
      <c r="D21" s="69">
        <f>'Avril 2027'!F7</f>
        <v/>
      </c>
      <c r="E21" s="70">
        <f>'Avril 2027'!E8</f>
        <v/>
      </c>
      <c r="F21" s="70">
        <f>'Avril 2027'!E9</f>
        <v/>
      </c>
      <c r="G21" s="69">
        <f>'Avril 2027'!F11</f>
        <v/>
      </c>
      <c r="H21" s="69">
        <f>'Avril 2027'!K11</f>
        <v/>
      </c>
      <c r="I21" s="69">
        <f>'Avril 2027'!K12</f>
        <v/>
      </c>
      <c r="J21" s="69">
        <f>'Avril 2027'!K13</f>
        <v/>
      </c>
      <c r="K21" s="69">
        <f>'Avril 2027'!K14</f>
        <v/>
      </c>
      <c r="L21" s="71">
        <f>'Avril 2027'!M11</f>
        <v/>
      </c>
      <c r="M21" s="72">
        <f>'Avril 2027'!K6</f>
        <v/>
      </c>
      <c r="N21" s="72">
        <f>'Avril 2027'!K7</f>
        <v/>
      </c>
      <c r="O21" s="72">
        <f>'Avril 2027'!K8</f>
        <v/>
      </c>
      <c r="P21" s="70">
        <f>'Avril 2027'!AB16</f>
        <v/>
      </c>
      <c r="Q21" s="72">
        <f>'Avril 2027'!AB11</f>
        <v/>
      </c>
      <c r="R21" s="73">
        <f>'Avril 2027'!AB2</f>
        <v/>
      </c>
      <c r="S21" s="74">
        <f>'Avril 2027'!AB12</f>
        <v/>
      </c>
      <c r="T21" s="74">
        <f>'Avril 2027'!AB13</f>
        <v/>
      </c>
      <c r="U21" s="74">
        <f>'Avril 2027'!AB15</f>
        <v/>
      </c>
      <c r="V21" s="75">
        <f>'Avril 2027'!AB19</f>
        <v/>
      </c>
    </row>
    <row r="22">
      <c r="B22" s="76" t="inlineStr">
        <is>
          <t>Mai 2027</t>
        </is>
      </c>
      <c r="C22" s="77">
        <f>'Mai 2027'!F15</f>
        <v/>
      </c>
      <c r="D22" s="77">
        <f>'Mai 2027'!F7</f>
        <v/>
      </c>
      <c r="E22" s="78">
        <f>'Mai 2027'!E8</f>
        <v/>
      </c>
      <c r="F22" s="78">
        <f>'Mai 2027'!E9</f>
        <v/>
      </c>
      <c r="G22" s="77">
        <f>'Mai 2027'!F11</f>
        <v/>
      </c>
      <c r="H22" s="77">
        <f>'Mai 2027'!K11</f>
        <v/>
      </c>
      <c r="I22" s="77">
        <f>'Mai 2027'!K12</f>
        <v/>
      </c>
      <c r="J22" s="77">
        <f>'Mai 2027'!K13</f>
        <v/>
      </c>
      <c r="K22" s="77">
        <f>'Mai 2027'!K14</f>
        <v/>
      </c>
      <c r="L22" s="79">
        <f>'Mai 2027'!M11</f>
        <v/>
      </c>
      <c r="M22" s="80">
        <f>'Mai 2027'!K6</f>
        <v/>
      </c>
      <c r="N22" s="80">
        <f>'Mai 2027'!K7</f>
        <v/>
      </c>
      <c r="O22" s="80">
        <f>'Mai 2027'!K8</f>
        <v/>
      </c>
      <c r="P22" s="78">
        <f>'Mai 2027'!AB16</f>
        <v/>
      </c>
      <c r="Q22" s="80">
        <f>'Mai 2027'!AB11</f>
        <v/>
      </c>
      <c r="R22" s="81">
        <f>'Mai 2027'!AB2</f>
        <v/>
      </c>
      <c r="S22" s="82">
        <f>'Mai 2027'!AB12</f>
        <v/>
      </c>
      <c r="T22" s="82">
        <f>'Mai 2027'!AB13</f>
        <v/>
      </c>
      <c r="U22" s="82">
        <f>'Mai 2027'!AB15</f>
        <v/>
      </c>
      <c r="V22" s="83">
        <f>'Mai 2027'!AB19</f>
        <v/>
      </c>
    </row>
    <row r="23">
      <c r="B23" s="84" t="inlineStr">
        <is>
          <t>Total</t>
        </is>
      </c>
      <c r="C23" s="85">
        <f>SUM(C11:C22)</f>
        <v/>
      </c>
      <c r="D23" s="85">
        <f>SUM(D11:D22)</f>
        <v/>
      </c>
      <c r="E23" s="86">
        <f>SUM(E11:E22)</f>
        <v/>
      </c>
      <c r="F23" s="86">
        <f>SUM(F11:F22)</f>
        <v/>
      </c>
      <c r="G23" s="85">
        <f>SUM(G11:G22)</f>
        <v/>
      </c>
      <c r="H23" s="85">
        <f>SUM(H11:H22)</f>
        <v/>
      </c>
      <c r="I23" s="85">
        <f>SUM(I11:I22)</f>
        <v/>
      </c>
      <c r="J23" s="85">
        <f>SUM(J11:J22)</f>
        <v/>
      </c>
      <c r="K23" s="85">
        <f>SUM(K11:K22)</f>
        <v/>
      </c>
      <c r="L23" s="85">
        <f>SUM(L11:L22)</f>
        <v/>
      </c>
      <c r="M23" s="87">
        <f>SUM(M11:M22)</f>
        <v/>
      </c>
      <c r="N23" s="87">
        <f>SUM(N11:N22)</f>
        <v/>
      </c>
      <c r="O23" s="87">
        <f>SUM(O11:O22)</f>
        <v/>
      </c>
      <c r="P23" s="86">
        <f>SUM(P11:P22)</f>
        <v/>
      </c>
      <c r="Q23" s="87">
        <f>SUM(Q11:Q22)</f>
        <v/>
      </c>
    </row>
    <row r="25">
      <c r="B25" s="68">
        <f>IF(Q23&gt;5,"⚠ "&amp;Q23&amp;" jours de maladie de l'enfant retenus sur la période : la convention limite ces retenues à 5 jours par an (absences courtes) ; au-delà le salaire est dû, sauf absence d'au moins 14 jours consécutifs.","✓ Retenues pour maladie de l'enfant dans la limite de 5 jours.")</f>
        <v/>
      </c>
    </row>
  </sheetData>
  <sheetProtection selectLockedCells="0" selectUnlockedCells="0" sheet="1" objects="0" insertRows="1" insertHyperlinks="1" autoFilter="1" scenarios="0" formatColumns="0" deleteColumns="1" insertColumns="1" pivotTables="1" deleteRows="1" formatCells="1" formatRows="0" sort="1"/>
  <mergeCells count="9">
    <mergeCell ref="J5:L5"/>
    <mergeCell ref="N5:Q5"/>
    <mergeCell ref="B5:D5"/>
    <mergeCell ref="B6:D7"/>
    <mergeCell ref="F5:H5"/>
    <mergeCell ref="F6:H7"/>
    <mergeCell ref="J6:L7"/>
    <mergeCell ref="N6:Q7"/>
    <mergeCell ref="B25:Q25"/>
  </mergeCells>
  <conditionalFormatting sqref="B25">
    <cfRule type="expression" priority="1" dxfId="0">
      <formula>LEFT($B$25,1)="⚠"</formula>
    </cfRule>
  </conditionalFormatting>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1" r:id="rId11"/>
    <hyperlink xmlns:r="http://schemas.openxmlformats.org/officeDocument/2006/relationships" ref="B22" r:id="rId12"/>
  </hyperlinks>
  <printOptions horizontalCentered="1"/>
  <pageMargins left="0.4" right="0.4" top="0.5" bottom="0.5" header="0.5" footer="0.5"/>
  <pageSetup orientation="landscape" paperSize="9" fitToHeight="0" fitToWidth="1"/>
  <drawing xmlns:r="http://schemas.openxmlformats.org/officeDocument/2006/relationships" r:id="rId13"/>
</worksheet>
</file>

<file path=xl/worksheets/sheet4.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Juin 2026</t>
        </is>
      </c>
      <c r="N2" s="23" t="inlineStr">
        <is>
          <t>Nid Serein · Édition 2026-2027</t>
        </is>
      </c>
      <c r="AB2" s="88" t="n">
        <v>46174</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payés'!F34</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payés'!E34</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5.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Juillet 2026</t>
        </is>
      </c>
      <c r="N2" s="23" t="inlineStr">
        <is>
          <t>Nid Serein · Édition 2026-2027</t>
        </is>
      </c>
      <c r="AB2" s="88" t="n">
        <v>46204</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payés'!F35</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payés'!E35</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6.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Août 2026</t>
        </is>
      </c>
      <c r="N2" s="23" t="inlineStr">
        <is>
          <t>Nid Serein · Édition 2026-2027</t>
        </is>
      </c>
      <c r="AB2" s="88" t="n">
        <v>46235</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payés'!F36</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payés'!E36</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7.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Septembre 2026</t>
        </is>
      </c>
      <c r="N2" s="23" t="inlineStr">
        <is>
          <t>Nid Serein · Édition 2026-2027</t>
        </is>
      </c>
      <c r="AB2" s="88" t="n">
        <v>46266</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payés'!F37</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payés'!E37</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v>0.3333333333333333</v>
      </c>
      <c r="F40" s="120" t="n">
        <v>0.7083333333333334</v>
      </c>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inlineStr">
        <is>
          <t>Mercredi exceptionnel</t>
        </is>
      </c>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8.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Octobre 2026</t>
        </is>
      </c>
      <c r="N2" s="23" t="inlineStr">
        <is>
          <t>Nid Serein · Édition 2026-2027</t>
        </is>
      </c>
      <c r="AB2" s="88" t="n">
        <v>46296</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payés'!F38</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payés'!E38</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9.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Novembre 2026</t>
        </is>
      </c>
      <c r="N2" s="23" t="inlineStr">
        <is>
          <t>Nid Serein · Édition 2026-2027</t>
        </is>
      </c>
      <c r="AB2" s="88" t="n">
        <v>46327</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payés'!F39</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payés'!E39</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inlineStr">
        <is>
          <t>Maladie enfant – retenue</t>
        </is>
      </c>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inlineStr">
        <is>
          <t>Certificat médical</t>
        </is>
      </c>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inlineStr">
        <is>
          <t>Maladie enfant – retenue</t>
        </is>
      </c>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inlineStr">
        <is>
          <t>Certificat médical</t>
        </is>
      </c>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v>0.3125</v>
      </c>
      <c r="F33" s="120" t="n">
        <v>0.7708333333333334</v>
      </c>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v>0.3333333333333333</v>
      </c>
      <c r="F34" s="120" t="n">
        <v>0.75</v>
      </c>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inlineStr">
        <is>
          <t>Absence enfant – payée</t>
        </is>
      </c>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inlineStr">
        <is>
          <t>Gardé par les grands-parents</t>
        </is>
      </c>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0.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Décembre 2026</t>
        </is>
      </c>
      <c r="N2" s="23" t="inlineStr">
        <is>
          <t>Nid Serein · Édition 2026-2027</t>
        </is>
      </c>
      <c r="AB2" s="88" t="n">
        <v>46357</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payés'!F40</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payés'!E40</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1.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Janvier 2027</t>
        </is>
      </c>
      <c r="N2" s="23" t="inlineStr">
        <is>
          <t>Nid Serein · Édition 2026-2027</t>
        </is>
      </c>
      <c r="AB2" s="88" t="n">
        <v>46388</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payés'!F41</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payés'!E41</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2.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Février 2027</t>
        </is>
      </c>
      <c r="N2" s="23" t="inlineStr">
        <is>
          <t>Nid Serein · Édition 2026-2027</t>
        </is>
      </c>
      <c r="AB2" s="88" t="n">
        <v>46419</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payés'!F42</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payés'!E42</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3.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Mars 2027</t>
        </is>
      </c>
      <c r="N2" s="23" t="inlineStr">
        <is>
          <t>Nid Serein · Édition 2026-2027</t>
        </is>
      </c>
      <c r="AB2" s="88" t="n">
        <v>46447</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payés'!F43</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payés'!E43</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4.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Avril 2027</t>
        </is>
      </c>
      <c r="N2" s="23" t="inlineStr">
        <is>
          <t>Nid Serein · Édition 2026-2027</t>
        </is>
      </c>
      <c r="AB2" s="88" t="n">
        <v>46478</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payés'!F44</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payés'!E44</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5.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Mai 2027</t>
        </is>
      </c>
      <c r="N2" s="23" t="inlineStr">
        <is>
          <t>Nid Serein · Édition 2026-2027</t>
        </is>
      </c>
      <c r="AB2" s="88" t="n">
        <v>46508</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payés'!F45</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payés'!E45</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6.xml><?xml version="1.0" encoding="utf-8"?>
<worksheet xmlns="http://schemas.openxmlformats.org/spreadsheetml/2006/main">
  <sheetPr>
    <tabColor rgb="002F6B66"/>
    <outlinePr summaryBelow="1" summaryRight="1"/>
    <pageSetUpPr fitToPage="1"/>
  </sheetPr>
  <dimension ref="B2:H48"/>
  <sheetViews>
    <sheetView showGridLines="0" zoomScale="100" workbookViewId="0">
      <selection activeCell="A1" sqref="A1"/>
    </sheetView>
  </sheetViews>
  <sheetFormatPr baseColWidth="8" defaultRowHeight="15"/>
  <cols>
    <col width="2" customWidth="1" min="1" max="1"/>
    <col width="58" customWidth="1" min="2" max="2"/>
    <col width="14" customWidth="1" min="3" max="3"/>
    <col width="14" customWidth="1" min="4" max="4"/>
    <col width="16" customWidth="1" min="5" max="5"/>
    <col width="16" customWidth="1" min="6" max="6"/>
    <col hidden="1" width="12" customWidth="1" min="7" max="7"/>
    <col width="40" customWidth="1" min="8" max="8"/>
  </cols>
  <sheetData>
    <row r="1" ht="10" customHeight="1"/>
    <row r="2" ht="34" customHeight="1">
      <c r="B2" s="22" t="inlineStr">
        <is>
          <t>Congés payés</t>
        </is>
      </c>
      <c r="H2" s="23" t="inlineStr">
        <is>
          <t>Nid Serein · Édition 2026-2027</t>
        </is>
      </c>
    </row>
    <row r="3" ht="20" customHeight="1">
      <c r="B3" s="24" t="inlineStr">
        <is>
          <t>Droits acquis, méthode la plus favorable (maintien de salaire ou dixième) et calendrier de paiement.</t>
        </is>
      </c>
    </row>
    <row r="5" ht="22" customHeight="1">
      <c r="B5" s="25" t="inlineStr">
        <is>
          <t>A · CONGÉS ACQUIS DU 1ER JUIN 2025 AU 31 MAI 2026 — À PRENDRE ET PAYER CETTE ANNÉE</t>
        </is>
      </c>
      <c r="C5" s="26" t="n"/>
      <c r="D5" s="26" t="n"/>
      <c r="E5" s="26" t="n"/>
      <c r="F5" s="26" t="n"/>
    </row>
    <row r="7">
      <c r="B7" s="29" t="inlineStr">
        <is>
          <t>Jours ouvrables acquis au 31 mai 2026 (si vous les connaissez)</t>
        </is>
      </c>
      <c r="C7" s="40" t="n"/>
      <c r="D7" s="63">
        <f>"suggestion : "&amp;F7&amp;" j"</f>
        <v/>
      </c>
      <c r="F7" s="133">
        <f>IF(DateDebut="",30,IF(DateDebut&lt;=DATE(2025,6,1),30,IF(DateDebut&gt;=DATE(2026,6,1),0,MIN(30,ROUNDUP(2.5*DATEDIF(DATE(YEAR(DateDebut),MONTH(DateDebut),1),DATE(2026,6,1),"m"),0)))))</f>
        <v/>
      </c>
    </row>
    <row r="8">
      <c r="B8" s="57" t="inlineStr">
        <is>
          <t xml:space="preserve">   → jours retenus pour le calcul</t>
        </is>
      </c>
      <c r="C8" s="134">
        <f>IF(C7="",F7,C7)</f>
        <v/>
      </c>
    </row>
    <row r="9">
      <c r="B9" s="29" t="inlineStr">
        <is>
          <t>Salaire mensualisé brut sur cette période (vide = salaire actuel)</t>
        </is>
      </c>
      <c r="C9" s="56" t="n"/>
      <c r="D9" s="135">
        <f>IF(C9="",SalMensBrut,C9)</f>
        <v/>
      </c>
    </row>
    <row r="10">
      <c r="B10" s="29" t="inlineStr">
        <is>
          <t>Total des salaires bruts du 01/06/2025 au 31/05/2026 (hors indemnités)</t>
        </is>
      </c>
      <c r="C10" s="56" t="n">
        <v>5745.6</v>
      </c>
      <c r="D10" s="135">
        <f>IF(C10="",ROUND(CPA_Sal*IF(DateDebut="",12,IF(DateDebut&lt;=DATE(2025,6,1),12,IF(DateDebut&gt;=DATE(2026,6,1),0,DATEDIF(DATE(YEAR(DateDebut),MONTH(DateDebut),1),DATE(2026,6,1),"m")))),2),C10)</f>
        <v/>
      </c>
      <c r="E10" s="136">
        <f>IF(C10="","estimation : remplacez-la par le vrai total (bulletins Pajemploi)","")</f>
        <v/>
      </c>
    </row>
    <row r="12">
      <c r="B12" s="14" t="inlineStr">
        <is>
          <t>Méthode du maintien de salaire (salaire ÷ 26 × jours)</t>
        </is>
      </c>
      <c r="C12" s="137">
        <f>ROUND(CPA_Sal/26*CPA_J,2)</f>
        <v/>
      </c>
      <c r="D12" s="42">
        <f>IF(C13&gt;C12,"","← retenue")</f>
        <v/>
      </c>
    </row>
    <row r="13">
      <c r="B13" s="14" t="inlineStr">
        <is>
          <t>Méthode du dixième (10 % des salaires bruts de la période)</t>
        </is>
      </c>
      <c r="C13" s="137">
        <f>ROUND(D10*0.1,2)</f>
        <v/>
      </c>
      <c r="D13" s="42">
        <f>IF(C13&gt;C12,"← retenue","")</f>
        <v/>
      </c>
    </row>
    <row r="14">
      <c r="B14" s="138" t="inlineStr">
        <is>
          <t>Indemnité de congés payés due (la plus favorable)</t>
        </is>
      </c>
      <c r="C14" s="139">
        <f>MAX(C12,C13)</f>
        <v/>
      </c>
    </row>
    <row r="15" ht="18" customHeight="1">
      <c r="B15" s="140">
        <f>IF(TypeCode=1,"Accueil 52 semaines : les congés sont payés par le maintien du salaire mensualisé au moment où ils sont pris. Si le dixième est plus favorable, le complément est ajouté automatiquement le mois où le dernier jour de congé acquis est pris.","Accueil 46 semaines ou moins : l'indemnité s'ajoute au salaire mensualisé, selon le mode prévu au contrat : "&amp;LOWER(ModeCP)&amp;".")</f>
        <v/>
      </c>
    </row>
    <row r="16" ht="18" customHeight="1"/>
    <row r="19" ht="22" customHeight="1">
      <c r="B19" s="25" t="inlineStr">
        <is>
          <t>B · CONGÉS EN COURS D'ACQUISITION (1ER JUIN 2026 – 31 MAI 2027)</t>
        </is>
      </c>
      <c r="C19" s="26" t="n"/>
      <c r="D19" s="26" t="n"/>
      <c r="E19" s="26" t="n"/>
      <c r="F19" s="26" t="n"/>
    </row>
    <row r="20">
      <c r="B20" s="29" t="inlineStr">
        <is>
          <t>Mois sous contrat sur la période (même partiellement)</t>
        </is>
      </c>
      <c r="C20" s="141">
        <f>SUM(RecapActive)</f>
        <v/>
      </c>
    </row>
    <row r="21">
      <c r="B21" s="29" t="inlineStr">
        <is>
          <t>Ajustement (+ jours pour enfant à charge, fractionnement ; − mois non travaillés)</t>
        </is>
      </c>
      <c r="C21" s="40" t="n">
        <v>0</v>
      </c>
    </row>
    <row r="22">
      <c r="B22" s="53" t="inlineStr">
        <is>
          <t>Jours ouvrables acquis</t>
        </is>
      </c>
      <c r="C22" s="134">
        <f>MAX(0,MIN(PlafondCP,ROUNDUP(JoursCPMois*C20,0))+N(C21))</f>
        <v/>
      </c>
    </row>
    <row r="23">
      <c r="B23" s="29" t="inlineStr">
        <is>
          <t>Salaires bruts de la période (congés payés inclus, hors indemnités)</t>
        </is>
      </c>
      <c r="C23" s="142">
        <f>SUM(RecapBrutHF)</f>
        <v/>
      </c>
    </row>
    <row r="24">
      <c r="B24" s="29" t="inlineStr">
        <is>
          <t>Maintien de salaire</t>
        </is>
      </c>
      <c r="C24" s="142">
        <f>ROUND(SalMensBrut/26*CPB_J,2)</f>
        <v/>
      </c>
    </row>
    <row r="25">
      <c r="B25" s="29" t="inlineStr">
        <is>
          <t>Dixième</t>
        </is>
      </c>
      <c r="C25" s="142">
        <f>ROUND(CPB_Brut*0.1,2)</f>
        <v/>
      </c>
    </row>
    <row r="26">
      <c r="B26" s="138" t="inlineStr">
        <is>
          <t>Indemnité prévisionnelle (la plus favorable)</t>
        </is>
      </c>
      <c r="C26" s="139">
        <f>MAX(C24,C25)</f>
        <v/>
      </c>
    </row>
    <row r="27">
      <c r="B27" s="63" t="inlineStr">
        <is>
          <t>Montant définitif au 31 mai 2027 : reportez-le dans la section A de l'édition 2027-2028.</t>
        </is>
      </c>
    </row>
    <row r="31" ht="22" customHeight="1">
      <c r="B31" s="25" t="inlineStr">
        <is>
          <t>C · CALENDRIER DE PAIEMENT DES CONGÉS ACQUIS AU 31 MAI 2026</t>
        </is>
      </c>
      <c r="C31" s="26" t="n"/>
      <c r="D31" s="26" t="n"/>
      <c r="E31" s="26" t="n"/>
      <c r="F31" s="26" t="n"/>
    </row>
    <row r="33">
      <c r="B33" s="47" t="inlineStr">
        <is>
          <t>Mois</t>
        </is>
      </c>
      <c r="C33" s="48" t="inlineStr">
        <is>
          <t>Jours de CP pris</t>
        </is>
      </c>
      <c r="D33" s="48" t="inlineStr">
        <is>
          <t>Cumul</t>
        </is>
      </c>
      <c r="E33" s="48" t="inlineStr">
        <is>
          <t>Indemnité versée (brut)</t>
        </is>
      </c>
      <c r="F33" s="48" t="inlineStr">
        <is>
          <t>Jours CP Pajemploi</t>
        </is>
      </c>
    </row>
    <row r="34">
      <c r="B34" s="143" t="inlineStr">
        <is>
          <t>Juin 2026</t>
        </is>
      </c>
      <c r="C34" s="144">
        <f>'Juin 2026'!AB10</f>
        <v/>
      </c>
      <c r="D34" s="144">
        <f>SUM(C$34:C34)</f>
        <v/>
      </c>
      <c r="E34" s="145">
        <f>IF('Juin 2026'!$AB$19=0,0,IF(TypeCode=1,IF(AND(CPA_J&gt;0,D34&gt;=CPA_J,D34-C34&lt;CPA_J),ROUND(MAX(0,CPA_Dix-CPA_Maint),2),0),CHOOSE(ModeCode,IF(G34=DATE(2026,6,1),CPA_Due,0),IF(G34=MoisCPDate,CPA_Due,0),IF(CPA_J&gt;0,ROUND(CPA_Due*MIN(D34,CPA_J)/CPA_J,2)-ROUND(CPA_Due*MIN(D34-C34,CPA_J)/CPA_J,2),0))))</f>
        <v/>
      </c>
      <c r="F34" s="144">
        <f>IF('Juin 2026'!$AB$19=0,0,IF(TypeCode=1,0,CHOOSE(ModeCode,IF(G34=DATE(2026,6,1),CPA_J,0),IF(G34=MoisCPDate,CPA_J,0),MIN(D34,CPA_J)-MIN(D34-C34,CPA_J))))</f>
        <v/>
      </c>
      <c r="G34" s="88" t="n">
        <v>46174</v>
      </c>
    </row>
    <row r="35">
      <c r="B35" s="143" t="inlineStr">
        <is>
          <t>Juillet 2026</t>
        </is>
      </c>
      <c r="C35" s="144">
        <f>'Juillet 2026'!AB10</f>
        <v/>
      </c>
      <c r="D35" s="144">
        <f>SUM(C$34:C35)</f>
        <v/>
      </c>
      <c r="E35" s="145">
        <f>IF('Juillet 2026'!$AB$19=0,0,IF(TypeCode=1,IF(AND(CPA_J&gt;0,D35&gt;=CPA_J,D35-C35&lt;CPA_J),ROUND(MAX(0,CPA_Dix-CPA_Maint),2),0),CHOOSE(ModeCode,IF(G35=DATE(2026,6,1),CPA_Due,0),IF(G35=MoisCPDate,CPA_Due,0),IF(CPA_J&gt;0,ROUND(CPA_Due*MIN(D35,CPA_J)/CPA_J,2)-ROUND(CPA_Due*MIN(D35-C35,CPA_J)/CPA_J,2),0))))</f>
        <v/>
      </c>
      <c r="F35" s="144">
        <f>IF('Juillet 2026'!$AB$19=0,0,IF(TypeCode=1,0,CHOOSE(ModeCode,IF(G35=DATE(2026,6,1),CPA_J,0),IF(G35=MoisCPDate,CPA_J,0),MIN(D35,CPA_J)-MIN(D35-C35,CPA_J))))</f>
        <v/>
      </c>
      <c r="G35" s="88" t="n">
        <v>46204</v>
      </c>
    </row>
    <row r="36">
      <c r="B36" s="143" t="inlineStr">
        <is>
          <t>Août 2026</t>
        </is>
      </c>
      <c r="C36" s="144">
        <f>'Août 2026'!AB10</f>
        <v/>
      </c>
      <c r="D36" s="144">
        <f>SUM(C$34:C36)</f>
        <v/>
      </c>
      <c r="E36" s="145">
        <f>IF('Août 2026'!$AB$19=0,0,IF(TypeCode=1,IF(AND(CPA_J&gt;0,D36&gt;=CPA_J,D36-C36&lt;CPA_J),ROUND(MAX(0,CPA_Dix-CPA_Maint),2),0),CHOOSE(ModeCode,IF(G36=DATE(2026,6,1),CPA_Due,0),IF(G36=MoisCPDate,CPA_Due,0),IF(CPA_J&gt;0,ROUND(CPA_Due*MIN(D36,CPA_J)/CPA_J,2)-ROUND(CPA_Due*MIN(D36-C36,CPA_J)/CPA_J,2),0))))</f>
        <v/>
      </c>
      <c r="F36" s="144">
        <f>IF('Août 2026'!$AB$19=0,0,IF(TypeCode=1,0,CHOOSE(ModeCode,IF(G36=DATE(2026,6,1),CPA_J,0),IF(G36=MoisCPDate,CPA_J,0),MIN(D36,CPA_J)-MIN(D36-C36,CPA_J))))</f>
        <v/>
      </c>
      <c r="G36" s="88" t="n">
        <v>46235</v>
      </c>
    </row>
    <row r="37">
      <c r="B37" s="143" t="inlineStr">
        <is>
          <t>Septembre 2026</t>
        </is>
      </c>
      <c r="C37" s="144">
        <f>'Septembre 2026'!AB10</f>
        <v/>
      </c>
      <c r="D37" s="144">
        <f>SUM(C$34:C37)</f>
        <v/>
      </c>
      <c r="E37" s="145">
        <f>IF('Septembre 2026'!$AB$19=0,0,IF(TypeCode=1,IF(AND(CPA_J&gt;0,D37&gt;=CPA_J,D37-C37&lt;CPA_J),ROUND(MAX(0,CPA_Dix-CPA_Maint),2),0),CHOOSE(ModeCode,IF(G37=DATE(2026,6,1),CPA_Due,0),IF(G37=MoisCPDate,CPA_Due,0),IF(CPA_J&gt;0,ROUND(CPA_Due*MIN(D37,CPA_J)/CPA_J,2)-ROUND(CPA_Due*MIN(D37-C37,CPA_J)/CPA_J,2),0))))</f>
        <v/>
      </c>
      <c r="F37" s="144">
        <f>IF('Septembre 2026'!$AB$19=0,0,IF(TypeCode=1,0,CHOOSE(ModeCode,IF(G37=DATE(2026,6,1),CPA_J,0),IF(G37=MoisCPDate,CPA_J,0),MIN(D37,CPA_J)-MIN(D37-C37,CPA_J))))</f>
        <v/>
      </c>
      <c r="G37" s="88" t="n">
        <v>46266</v>
      </c>
    </row>
    <row r="38">
      <c r="B38" s="143" t="inlineStr">
        <is>
          <t>Octobre 2026</t>
        </is>
      </c>
      <c r="C38" s="144">
        <f>'Octobre 2026'!AB10</f>
        <v/>
      </c>
      <c r="D38" s="144">
        <f>SUM(C$34:C38)</f>
        <v/>
      </c>
      <c r="E38" s="145">
        <f>IF('Octobre 2026'!$AB$19=0,0,IF(TypeCode=1,IF(AND(CPA_J&gt;0,D38&gt;=CPA_J,D38-C38&lt;CPA_J),ROUND(MAX(0,CPA_Dix-CPA_Maint),2),0),CHOOSE(ModeCode,IF(G38=DATE(2026,6,1),CPA_Due,0),IF(G38=MoisCPDate,CPA_Due,0),IF(CPA_J&gt;0,ROUND(CPA_Due*MIN(D38,CPA_J)/CPA_J,2)-ROUND(CPA_Due*MIN(D38-C38,CPA_J)/CPA_J,2),0))))</f>
        <v/>
      </c>
      <c r="F38" s="144">
        <f>IF('Octobre 2026'!$AB$19=0,0,IF(TypeCode=1,0,CHOOSE(ModeCode,IF(G38=DATE(2026,6,1),CPA_J,0),IF(G38=MoisCPDate,CPA_J,0),MIN(D38,CPA_J)-MIN(D38-C38,CPA_J))))</f>
        <v/>
      </c>
      <c r="G38" s="88" t="n">
        <v>46296</v>
      </c>
    </row>
    <row r="39">
      <c r="B39" s="143" t="inlineStr">
        <is>
          <t>Novembre 2026</t>
        </is>
      </c>
      <c r="C39" s="144">
        <f>'Novembre 2026'!AB10</f>
        <v/>
      </c>
      <c r="D39" s="144">
        <f>SUM(C$34:C39)</f>
        <v/>
      </c>
      <c r="E39" s="145">
        <f>IF('Novembre 2026'!$AB$19=0,0,IF(TypeCode=1,IF(AND(CPA_J&gt;0,D39&gt;=CPA_J,D39-C39&lt;CPA_J),ROUND(MAX(0,CPA_Dix-CPA_Maint),2),0),CHOOSE(ModeCode,IF(G39=DATE(2026,6,1),CPA_Due,0),IF(G39=MoisCPDate,CPA_Due,0),IF(CPA_J&gt;0,ROUND(CPA_Due*MIN(D39,CPA_J)/CPA_J,2)-ROUND(CPA_Due*MIN(D39-C39,CPA_J)/CPA_J,2),0))))</f>
        <v/>
      </c>
      <c r="F39" s="144">
        <f>IF('Novembre 2026'!$AB$19=0,0,IF(TypeCode=1,0,CHOOSE(ModeCode,IF(G39=DATE(2026,6,1),CPA_J,0),IF(G39=MoisCPDate,CPA_J,0),MIN(D39,CPA_J)-MIN(D39-C39,CPA_J))))</f>
        <v/>
      </c>
      <c r="G39" s="88" t="n">
        <v>46327</v>
      </c>
    </row>
    <row r="40">
      <c r="B40" s="143" t="inlineStr">
        <is>
          <t>Décembre 2026</t>
        </is>
      </c>
      <c r="C40" s="144">
        <f>'Décembre 2026'!AB10</f>
        <v/>
      </c>
      <c r="D40" s="144">
        <f>SUM(C$34:C40)</f>
        <v/>
      </c>
      <c r="E40" s="145">
        <f>IF('Décembre 2026'!$AB$19=0,0,IF(TypeCode=1,IF(AND(CPA_J&gt;0,D40&gt;=CPA_J,D40-C40&lt;CPA_J),ROUND(MAX(0,CPA_Dix-CPA_Maint),2),0),CHOOSE(ModeCode,IF(G40=DATE(2026,6,1),CPA_Due,0),IF(G40=MoisCPDate,CPA_Due,0),IF(CPA_J&gt;0,ROUND(CPA_Due*MIN(D40,CPA_J)/CPA_J,2)-ROUND(CPA_Due*MIN(D40-C40,CPA_J)/CPA_J,2),0))))</f>
        <v/>
      </c>
      <c r="F40" s="144">
        <f>IF('Décembre 2026'!$AB$19=0,0,IF(TypeCode=1,0,CHOOSE(ModeCode,IF(G40=DATE(2026,6,1),CPA_J,0),IF(G40=MoisCPDate,CPA_J,0),MIN(D40,CPA_J)-MIN(D40-C40,CPA_J))))</f>
        <v/>
      </c>
      <c r="G40" s="88" t="n">
        <v>46357</v>
      </c>
    </row>
    <row r="41">
      <c r="B41" s="143" t="inlineStr">
        <is>
          <t>Janvier 2027</t>
        </is>
      </c>
      <c r="C41" s="144">
        <f>'Janvier 2027'!AB10</f>
        <v/>
      </c>
      <c r="D41" s="144">
        <f>SUM(C$34:C41)</f>
        <v/>
      </c>
      <c r="E41" s="145">
        <f>IF('Janvier 2027'!$AB$19=0,0,IF(TypeCode=1,IF(AND(CPA_J&gt;0,D41&gt;=CPA_J,D41-C41&lt;CPA_J),ROUND(MAX(0,CPA_Dix-CPA_Maint),2),0),CHOOSE(ModeCode,IF(G41=DATE(2026,6,1),CPA_Due,0),IF(G41=MoisCPDate,CPA_Due,0),IF(CPA_J&gt;0,ROUND(CPA_Due*MIN(D41,CPA_J)/CPA_J,2)-ROUND(CPA_Due*MIN(D41-C41,CPA_J)/CPA_J,2),0))))</f>
        <v/>
      </c>
      <c r="F41" s="144">
        <f>IF('Janvier 2027'!$AB$19=0,0,IF(TypeCode=1,0,CHOOSE(ModeCode,IF(G41=DATE(2026,6,1),CPA_J,0),IF(G41=MoisCPDate,CPA_J,0),MIN(D41,CPA_J)-MIN(D41-C41,CPA_J))))</f>
        <v/>
      </c>
      <c r="G41" s="88" t="n">
        <v>46388</v>
      </c>
    </row>
    <row r="42">
      <c r="B42" s="143" t="inlineStr">
        <is>
          <t>Février 2027</t>
        </is>
      </c>
      <c r="C42" s="144">
        <f>'Février 2027'!AB10</f>
        <v/>
      </c>
      <c r="D42" s="144">
        <f>SUM(C$34:C42)</f>
        <v/>
      </c>
      <c r="E42" s="145">
        <f>IF('Février 2027'!$AB$19=0,0,IF(TypeCode=1,IF(AND(CPA_J&gt;0,D42&gt;=CPA_J,D42-C42&lt;CPA_J),ROUND(MAX(0,CPA_Dix-CPA_Maint),2),0),CHOOSE(ModeCode,IF(G42=DATE(2026,6,1),CPA_Due,0),IF(G42=MoisCPDate,CPA_Due,0),IF(CPA_J&gt;0,ROUND(CPA_Due*MIN(D42,CPA_J)/CPA_J,2)-ROUND(CPA_Due*MIN(D42-C42,CPA_J)/CPA_J,2),0))))</f>
        <v/>
      </c>
      <c r="F42" s="144">
        <f>IF('Février 2027'!$AB$19=0,0,IF(TypeCode=1,0,CHOOSE(ModeCode,IF(G42=DATE(2026,6,1),CPA_J,0),IF(G42=MoisCPDate,CPA_J,0),MIN(D42,CPA_J)-MIN(D42-C42,CPA_J))))</f>
        <v/>
      </c>
      <c r="G42" s="88" t="n">
        <v>46419</v>
      </c>
    </row>
    <row r="43">
      <c r="B43" s="143" t="inlineStr">
        <is>
          <t>Mars 2027</t>
        </is>
      </c>
      <c r="C43" s="144">
        <f>'Mars 2027'!AB10</f>
        <v/>
      </c>
      <c r="D43" s="144">
        <f>SUM(C$34:C43)</f>
        <v/>
      </c>
      <c r="E43" s="145">
        <f>IF('Mars 2027'!$AB$19=0,0,IF(TypeCode=1,IF(AND(CPA_J&gt;0,D43&gt;=CPA_J,D43-C43&lt;CPA_J),ROUND(MAX(0,CPA_Dix-CPA_Maint),2),0),CHOOSE(ModeCode,IF(G43=DATE(2026,6,1),CPA_Due,0),IF(G43=MoisCPDate,CPA_Due,0),IF(CPA_J&gt;0,ROUND(CPA_Due*MIN(D43,CPA_J)/CPA_J,2)-ROUND(CPA_Due*MIN(D43-C43,CPA_J)/CPA_J,2),0))))</f>
        <v/>
      </c>
      <c r="F43" s="144">
        <f>IF('Mars 2027'!$AB$19=0,0,IF(TypeCode=1,0,CHOOSE(ModeCode,IF(G43=DATE(2026,6,1),CPA_J,0),IF(G43=MoisCPDate,CPA_J,0),MIN(D43,CPA_J)-MIN(D43-C43,CPA_J))))</f>
        <v/>
      </c>
      <c r="G43" s="88" t="n">
        <v>46447</v>
      </c>
    </row>
    <row r="44">
      <c r="B44" s="143" t="inlineStr">
        <is>
          <t>Avril 2027</t>
        </is>
      </c>
      <c r="C44" s="144">
        <f>'Avril 2027'!AB10</f>
        <v/>
      </c>
      <c r="D44" s="144">
        <f>SUM(C$34:C44)</f>
        <v/>
      </c>
      <c r="E44" s="145">
        <f>IF('Avril 2027'!$AB$19=0,0,IF(TypeCode=1,IF(AND(CPA_J&gt;0,D44&gt;=CPA_J,D44-C44&lt;CPA_J),ROUND(MAX(0,CPA_Dix-CPA_Maint),2),0),CHOOSE(ModeCode,IF(G44=DATE(2026,6,1),CPA_Due,0),IF(G44=MoisCPDate,CPA_Due,0),IF(CPA_J&gt;0,ROUND(CPA_Due*MIN(D44,CPA_J)/CPA_J,2)-ROUND(CPA_Due*MIN(D44-C44,CPA_J)/CPA_J,2),0))))</f>
        <v/>
      </c>
      <c r="F44" s="144">
        <f>IF('Avril 2027'!$AB$19=0,0,IF(TypeCode=1,0,CHOOSE(ModeCode,IF(G44=DATE(2026,6,1),CPA_J,0),IF(G44=MoisCPDate,CPA_J,0),MIN(D44,CPA_J)-MIN(D44-C44,CPA_J))))</f>
        <v/>
      </c>
      <c r="G44" s="88" t="n">
        <v>46478</v>
      </c>
    </row>
    <row r="45">
      <c r="B45" s="143" t="inlineStr">
        <is>
          <t>Mai 2027</t>
        </is>
      </c>
      <c r="C45" s="144">
        <f>'Mai 2027'!AB10</f>
        <v/>
      </c>
      <c r="D45" s="144">
        <f>SUM(C$34:C45)</f>
        <v/>
      </c>
      <c r="E45" s="145">
        <f>IF('Mai 2027'!$AB$19=0,0,IF(TypeCode=1,IF(AND(CPA_J&gt;0,D45&gt;=CPA_J,D45-C45&lt;CPA_J),ROUND(MAX(0,CPA_Dix-CPA_Maint),2),0),CHOOSE(ModeCode,IF(G45=DATE(2026,6,1),CPA_Due,0),IF(G45=MoisCPDate,CPA_Due,0),IF(CPA_J&gt;0,ROUND(CPA_Due*MIN(D45,CPA_J)/CPA_J,2)-ROUND(CPA_Due*MIN(D45-C45,CPA_J)/CPA_J,2),0))))</f>
        <v/>
      </c>
      <c r="F45" s="144">
        <f>IF('Mai 2027'!$AB$19=0,0,IF(TypeCode=1,0,CHOOSE(ModeCode,IF(G45=DATE(2026,6,1),CPA_J,0),IF(G45=MoisCPDate,CPA_J,0),MIN(D45,CPA_J)-MIN(D45-C45,CPA_J))))</f>
        <v/>
      </c>
      <c r="G45" s="88" t="n">
        <v>46508</v>
      </c>
    </row>
    <row r="46">
      <c r="B46" s="53" t="inlineStr">
        <is>
          <t>Total</t>
        </is>
      </c>
      <c r="C46" s="146">
        <f>SUM(C34:C45)</f>
        <v/>
      </c>
      <c r="E46" s="147">
        <f>SUM(E34:E45)</f>
        <v/>
      </c>
      <c r="F46" s="146">
        <f>SUM(F34:F45)</f>
        <v/>
      </c>
    </row>
    <row r="47">
      <c r="B47" s="115">
        <f>IF(AND(CPA_J&gt;0,CPTaken&gt;CPA_J),"⚠ "&amp;(CPTaken-CPA_J)&amp;" jour(s) de congé au-delà des droits acquis : notez-les « Congé sans solde assmat »"&amp;IF(TypeCode=1," (ils seront retenus sur le salaire)."," (ils ne sont pas rémunérés)."),"")</f>
        <v/>
      </c>
    </row>
    <row r="48">
      <c r="B48" s="63" t="inlineStr">
        <is>
          <t>Les jours de congé pris sont comptés automatiquement dans les feuilles mensuelles (jours ouvrables, du lundi au samedi, hors jours fériés).</t>
        </is>
      </c>
    </row>
  </sheetData>
  <sheetProtection selectLockedCells="0" selectUnlockedCells="0" sheet="1" objects="0" insertRows="1" insertHyperlinks="1" autoFilter="1" scenarios="0" formatColumns="0" deleteColumns="1" insertColumns="1" pivotTables="1" deleteRows="1" formatCells="1" formatRows="0" sort="1"/>
  <mergeCells count="9">
    <mergeCell ref="D7:E7"/>
    <mergeCell ref="B27:H27"/>
    <mergeCell ref="B19:F19"/>
    <mergeCell ref="B5:F5"/>
    <mergeCell ref="B47:H47"/>
    <mergeCell ref="B31:F31"/>
    <mergeCell ref="B48:H48"/>
    <mergeCell ref="E10:H10"/>
    <mergeCell ref="B15:H16"/>
  </mergeCells>
  <printOptions horizontalCentered="1"/>
  <pageMargins left="0.4" right="0.4" top="0.5" bottom="0.5" header="0.5" footer="0.5"/>
  <pageSetup orientation="portrait" paperSize="9" fitToHeight="1" fitToWidth="1"/>
</worksheet>
</file>

<file path=xl/worksheets/sheet17.xml><?xml version="1.0" encoding="utf-8"?>
<worksheet xmlns="http://schemas.openxmlformats.org/spreadsheetml/2006/main">
  <sheetPr>
    <tabColor rgb="00C8643F"/>
    <outlinePr summaryBelow="1" summaryRight="1"/>
    <pageSetUpPr fitToPage="1"/>
  </sheetPr>
  <dimension ref="B2:E49"/>
  <sheetViews>
    <sheetView showGridLines="0" zoomScale="100" workbookViewId="0">
      <selection activeCell="A1" sqref="A1"/>
    </sheetView>
  </sheetViews>
  <sheetFormatPr baseColWidth="8" defaultRowHeight="15"/>
  <cols>
    <col width="2" customWidth="1" min="1" max="1"/>
    <col width="62" customWidth="1" min="2" max="2"/>
    <col width="18" customWidth="1" min="3" max="3"/>
    <col width="3" customWidth="1" min="4" max="4"/>
    <col width="60" customWidth="1" min="5" max="5"/>
  </cols>
  <sheetData>
    <row r="1" ht="10" customHeight="1"/>
    <row r="2" ht="34" customHeight="1">
      <c r="B2" s="22" t="inlineStr">
        <is>
          <t>Fin de contrat</t>
        </is>
      </c>
      <c r="E2" s="23" t="inlineStr">
        <is>
          <t>Nid Serein · Édition 2026-2027</t>
        </is>
      </c>
    </row>
    <row r="3" ht="20" customHeight="1">
      <c r="B3" s="24" t="inlineStr">
        <is>
          <t>Préavis, régularisation, congés payés et indemnité de rupture : le solde de tout compte en un coup d'œil.</t>
        </is>
      </c>
    </row>
    <row r="4">
      <c r="B4" s="115">
        <f>IF(AND(DateFin&lt;&gt;"",OR(DateFin&lt;DATE(2026,6,1),DateFin&gt;DATE(2027,5,31))),"⚠ La date de fin est en dehors de la période de ce fichier (1er juin 2026 – 31 mai 2027).","")</f>
        <v/>
      </c>
    </row>
    <row r="5" ht="22" customHeight="1">
      <c r="B5" s="25" t="inlineStr">
        <is>
          <t>LA RUPTURE</t>
        </is>
      </c>
      <c r="C5" s="26" t="n"/>
      <c r="D5" s="26" t="n"/>
      <c r="E5" s="26" t="n"/>
    </row>
    <row r="6">
      <c r="B6" s="29" t="inlineStr">
        <is>
          <t>Motif</t>
        </is>
      </c>
      <c r="C6" s="30" t="n"/>
      <c r="D6" s="31" t="n"/>
      <c r="E6" s="31" t="n"/>
    </row>
    <row r="7">
      <c r="B7" s="29" t="inlineStr">
        <is>
          <t>Date d'envoi ou de remise de la lettre</t>
        </is>
      </c>
      <c r="C7" s="37" t="n"/>
    </row>
    <row r="8">
      <c r="B8" s="29" t="inlineStr">
        <is>
          <t>Dernier jour du contrat (fin du préavis)</t>
        </is>
      </c>
      <c r="C8" s="37" t="n"/>
      <c r="E8" s="63" t="inlineStr">
        <is>
          <t>Laissez vide tant que le contrat continue.</t>
        </is>
      </c>
    </row>
    <row r="10" ht="22" customHeight="1">
      <c r="B10" s="25" t="inlineStr">
        <is>
          <t>PRÉAVIS</t>
        </is>
      </c>
      <c r="C10" s="26" t="n"/>
      <c r="D10" s="26" t="n"/>
      <c r="E10" s="26" t="n"/>
    </row>
    <row r="11">
      <c r="B11" s="29" t="inlineStr">
        <is>
          <t>Ancienneté à la date de la lettre (mois)</t>
        </is>
      </c>
      <c r="C11" s="141">
        <f>IF(OR(DateNotif="",DateDebut=""),"",DATEDIF(DateDebut,DateNotif,"m"))</f>
        <v/>
      </c>
    </row>
    <row r="12">
      <c r="B12" s="29" t="inlineStr">
        <is>
          <t>Durée du préavis</t>
        </is>
      </c>
      <c r="C12" s="148">
        <f>IF(OR(C11="",Motif=""),"",IF(OR(Motif="Retrait de l'enfant (décision des parents)",Motif="Décès de l'enfant"),IF(C11&lt;3,"8 jours",IF(C11&lt;12,"15 jours","1 mois")),IF(Motif="Démission de l'assistante maternelle",IF(C11&lt;3,"Aucun",IF(C11&lt;12,"15 jours","1 mois")),IF(Motif="Départ volontaire à la retraite",IF(C11&lt;6,"Selon usages",IF(C11&lt;24,"1 mois","2 mois")),"Aucun"))))</f>
        <v/>
      </c>
      <c r="E12" s="63">
        <f>IF(Motif="Décès de l'enfant","Rupture au jour du décès ; le préavis est payé sous forme d'indemnité.",IF(OR(Motif="Suspension ou retrait d'agrément",Motif="Faute grave"),"Pas de préavis.","Jours calendaires, à compter de la première présentation de la lettre."))</f>
        <v/>
      </c>
    </row>
    <row r="13">
      <c r="B13" s="29" t="inlineStr">
        <is>
          <t>Fin de préavis (indicative)</t>
        </is>
      </c>
      <c r="C13" s="45">
        <f>IF(OR(C12="",DateNotif=""),"",IF(C12="8 jours",DateNotif+7,IF(C12="15 jours",DateNotif+14,IF(C12="1 mois",EDATE(DateNotif,1)-1,IF(C12="2 mois",EDATE(DateNotif,2)-1,"")))))</f>
        <v/>
      </c>
      <c r="E13" s="63" t="inlineStr">
        <is>
          <t>Des congés payés pris pendant le préavis le prolongent d'autant.</t>
        </is>
      </c>
    </row>
    <row r="14">
      <c r="B14" s="29" t="inlineStr">
        <is>
          <t>Durée d'accueil totale (mois)</t>
        </is>
      </c>
      <c r="C14" s="141">
        <f>IF(OR(DateFin="",DateDebut=""),"",DATEDIF(DateDebut,DateFin+1,"m"))</f>
        <v/>
      </c>
    </row>
    <row r="16" ht="22" customHeight="1">
      <c r="B16" s="25" t="inlineStr">
        <is>
          <t>RÉGULARISATION DE SALAIRE (ACCUEIL SUR 46 SEMAINES OU MOINS)</t>
        </is>
      </c>
      <c r="C16" s="26" t="n"/>
      <c r="D16" s="26" t="n"/>
      <c r="E16" s="26" t="n"/>
    </row>
    <row r="17">
      <c r="B17" s="29" t="inlineStr">
        <is>
          <t>Dernière date anniversaire du contrat</t>
        </is>
      </c>
      <c r="C17" s="45">
        <f>IF(OR(DateFin="",DateDebut=""),"",EDATE(DateDebut,12*DATEDIF(DateDebut,DateFin,"y")))</f>
        <v/>
      </c>
      <c r="D17" s="149">
        <f>IF(C17="",DATE(2000,1,1),C17)</f>
        <v/>
      </c>
    </row>
    <row r="18">
      <c r="B18" s="29" t="inlineStr">
        <is>
          <t>Heures effectuées depuis cette date (dans ce fichier)</t>
        </is>
      </c>
      <c r="C18" s="50">
        <f>IF(C17="",0,SUM(RecapEff))</f>
        <v/>
      </c>
      <c r="E18" s="63" t="inlineStr">
        <is>
          <t>planning hors heures en plus + jours fériés chômés + absences payées</t>
        </is>
      </c>
    </row>
    <row r="19">
      <c r="B19" s="29" t="inlineStr">
        <is>
          <t>Heures de base payées sur la même période (dans ce fichier)</t>
        </is>
      </c>
      <c r="C19" s="50">
        <f>IF(C17="",0,SUMPRODUCT((RecapStart&gt;=DATE(YEAR(C17),MONTH(C17),1))*RecapPaid)-SUMPRODUCT((RecapStart=DATE(YEAR(C17),MONTH(C17),1))*RecapPaid)*(DAY(C17)-1)/DAY(EOMONTH(C17,0)))</f>
        <v/>
      </c>
    </row>
    <row r="20">
      <c r="B20" s="29" t="inlineStr">
        <is>
          <t>Heures effectuées avant le 1er juin 2026, depuis la date anniversaire</t>
        </is>
      </c>
      <c r="C20" s="150" t="n"/>
    </row>
    <row r="21">
      <c r="B21" s="29" t="inlineStr">
        <is>
          <t>Heures de base payées avant le 1er juin 2026, depuis la date anniversaire</t>
        </is>
      </c>
      <c r="C21" s="150" t="n"/>
    </row>
    <row r="22">
      <c r="B22" s="29" t="inlineStr">
        <is>
          <t>Solde des régularisations prévisionnelles antérieures (heures, + pour l'assmat)</t>
        </is>
      </c>
      <c r="C22" s="150" t="n"/>
    </row>
    <row r="23">
      <c r="B23" s="29" t="inlineStr">
        <is>
          <t>Écart (heures effectuées − heures payées)</t>
        </is>
      </c>
      <c r="C23" s="151">
        <f>C18+N(C20)-C19-N(C21)+N(C22)</f>
        <v/>
      </c>
    </row>
    <row r="24">
      <c r="B24" s="138" t="inlineStr">
        <is>
          <t>Régularisation due à l'assmat (brut)</t>
        </is>
      </c>
      <c r="C24" s="139">
        <f>IF(OR(TypeCode=1,DateFin=""),0,ROUND(MAX(0,C23)*TauxBrut,2))</f>
        <v/>
      </c>
      <c r="E24" s="63">
        <f>IF(TypeCode=1,"Sans objet pour un accueil sur 52 semaines.",IF(C23&lt;0,"Écart négatif : rien à reprendre, le « trop-perçu » reste acquis à l'assmat.",""))</f>
        <v/>
      </c>
    </row>
    <row r="26" ht="22" customHeight="1">
      <c r="B26" s="25" t="inlineStr">
        <is>
          <t>CONGÉS PAYÉS</t>
        </is>
      </c>
      <c r="C26" s="26" t="n"/>
      <c r="D26" s="26" t="n"/>
      <c r="E26" s="26" t="n"/>
    </row>
    <row r="27">
      <c r="B27" s="29" t="inlineStr">
        <is>
          <t>Congés acquis au 31 mai 2026 non encore payés</t>
        </is>
      </c>
      <c r="C27" s="142">
        <f>IF(DateFin="",0,MAX(0,ROUND(CPA_Due-IF(TypeCode=1,CPA_Sal/26*MIN(CPTaken,CPA_J),0)-CPPaid,2)))</f>
        <v/>
      </c>
    </row>
    <row r="28">
      <c r="B28" s="29" t="inlineStr">
        <is>
          <t>Congés acquis depuis le 1er juin 2026 (jours ouvrables)</t>
        </is>
      </c>
      <c r="C28" s="55">
        <f>IF(DateFin="",0,CPB_J)</f>
        <v/>
      </c>
    </row>
    <row r="29">
      <c r="B29" s="57" t="inlineStr">
        <is>
          <t xml:space="preserve">   · maintien de salaire</t>
        </is>
      </c>
      <c r="C29" s="142">
        <f>ROUND(SalMensBrut/26*C28,2)</f>
        <v/>
      </c>
    </row>
    <row r="30">
      <c r="B30" s="57" t="inlineStr">
        <is>
          <t xml:space="preserve">   · dixième (salaires de la période + régularisation)</t>
        </is>
      </c>
      <c r="C30" s="142">
        <f>IF(DateFin="",0,ROUND((CPB_Brut+Regul)*0.1,2))</f>
        <v/>
      </c>
    </row>
    <row r="31">
      <c r="B31" s="138" t="inlineStr">
        <is>
          <t>Indemnité compensatrice de congés payés</t>
        </is>
      </c>
      <c r="C31" s="139">
        <f>IF(DateFin="",0,C27+MAX(C29,C30))</f>
        <v/>
      </c>
    </row>
    <row r="33" ht="22" customHeight="1">
      <c r="B33" s="25" t="inlineStr">
        <is>
          <t>INDEMNITÉ DE RUPTURE</t>
        </is>
      </c>
      <c r="C33" s="26" t="n"/>
      <c r="D33" s="26" t="n"/>
      <c r="E33" s="26" t="n"/>
    </row>
    <row r="34" ht="30" customHeight="1">
      <c r="B34" s="29" t="inlineStr">
        <is>
          <t>Droit à l'indemnité</t>
        </is>
      </c>
      <c r="C34" s="148">
        <f>IF(DateFin="","",IF(AND(OR(Motif="Retrait de l'enfant (décision des parents)",Motif="Décès de l'enfant"),N(C14)&gt;=9),"Oui","Non"))</f>
        <v/>
      </c>
      <c r="E34" s="152" t="inlineStr">
        <is>
          <t>Due si les parents retirent l'enfant (ou décès) après au moins 9 mois d'accueil — pas en cas de démission, retraite, faute grave ou retrait d'agrément.</t>
        </is>
      </c>
    </row>
    <row r="35">
      <c r="B35" s="29" t="inlineStr">
        <is>
          <t>Salaires bruts perçus avant le 1er juin 2026 (depuis le début du contrat)</t>
        </is>
      </c>
      <c r="C35" s="56" t="n"/>
    </row>
    <row r="36">
      <c r="B36" s="29" t="inlineStr">
        <is>
          <t>Salaires bruts perçus depuis le 1er juin 2026 (+ régularisation)</t>
        </is>
      </c>
      <c r="C36" s="142">
        <f>CPB_Brut+Regul</f>
        <v/>
      </c>
    </row>
    <row r="37">
      <c r="B37" s="138" t="inlineStr">
        <is>
          <t>Indemnité de rupture (1/80e, sans cotisations)</t>
        </is>
      </c>
      <c r="C37" s="139">
        <f>IF(C34="Oui",ROUND((N(C35)+C36)/80,2),0)</f>
        <v/>
      </c>
    </row>
    <row r="39" ht="22" customHeight="1">
      <c r="B39" s="25" t="inlineStr">
        <is>
          <t>SOLDE DE TOUT COMPTE</t>
        </is>
      </c>
      <c r="C39" s="26" t="n"/>
      <c r="D39" s="26" t="n"/>
      <c r="E39" s="26" t="n"/>
    </row>
    <row r="40">
      <c r="B40" s="29" t="inlineStr">
        <is>
          <t>Régularisation + congés payés (brut, soumis à cotisations)</t>
        </is>
      </c>
      <c r="C40" s="147">
        <f>Regul+C31</f>
        <v/>
      </c>
      <c r="E40" s="63" t="inlineStr">
        <is>
          <t>→ ajouté automatiquement au salaire du dernier mois</t>
        </is>
      </c>
    </row>
    <row r="41">
      <c r="B41" s="29" t="inlineStr">
        <is>
          <t>Indemnité de rupture (case « indemnité de rupture » sur Pajemploi)</t>
        </is>
      </c>
      <c r="C41" s="147">
        <f>IndemRupture</f>
        <v/>
      </c>
    </row>
    <row r="42">
      <c r="B42" s="153" t="inlineStr">
        <is>
          <t>Total brut de fin de contrat</t>
        </is>
      </c>
      <c r="C42" s="154">
        <f>C40+C41</f>
        <v/>
      </c>
    </row>
    <row r="43">
      <c r="B43" s="57" t="inlineStr">
        <is>
          <t>Estimation nette</t>
        </is>
      </c>
      <c r="C43" s="135">
        <f>ROUND(C40*CoefNet,2)+C41</f>
        <v/>
      </c>
    </row>
    <row r="45" ht="22" customHeight="1">
      <c r="B45" s="25" t="inlineStr">
        <is>
          <t>DOCUMENTS À REMETTRE</t>
        </is>
      </c>
      <c r="C45" s="26" t="n"/>
      <c r="D45" s="26" t="n"/>
      <c r="E45" s="26" t="n"/>
    </row>
    <row r="46">
      <c r="B46" s="155" t="inlineStr">
        <is>
          <t>☐  Dernier bulletin de salaire (édité par Pajemploi après la déclaration)</t>
        </is>
      </c>
    </row>
    <row r="47">
      <c r="B47" s="155" t="inlineStr">
        <is>
          <t>☐  Certificat de travail (dates, emploi, portabilité de la prévoyance IRCEM)</t>
        </is>
      </c>
    </row>
    <row r="48">
      <c r="B48" s="155" t="inlineStr">
        <is>
          <t>☐  Reçu pour solde de tout compte (détail des sommes ci-dessus)</t>
        </is>
      </c>
    </row>
    <row r="49">
      <c r="B49" s="155" t="inlineStr">
        <is>
          <t>☐  Attestation France Travail (à demander à France Travail)</t>
        </is>
      </c>
    </row>
  </sheetData>
  <sheetProtection selectLockedCells="0" selectUnlockedCells="0" sheet="1" objects="0" insertRows="1" insertHyperlinks="1" autoFilter="1" scenarios="0" formatColumns="0" deleteColumns="1" insertColumns="1" pivotTables="1" deleteRows="1" formatCells="1" formatRows="0" sort="1"/>
  <mergeCells count="13">
    <mergeCell ref="B45:E45"/>
    <mergeCell ref="B26:E26"/>
    <mergeCell ref="B49:E49"/>
    <mergeCell ref="B4:E4"/>
    <mergeCell ref="B16:E16"/>
    <mergeCell ref="B48:E48"/>
    <mergeCell ref="B33:E33"/>
    <mergeCell ref="B39:E39"/>
    <mergeCell ref="B47:E47"/>
    <mergeCell ref="B5:E5"/>
    <mergeCell ref="B10:E10"/>
    <mergeCell ref="B46:E46"/>
    <mergeCell ref="C6:E6"/>
  </mergeCells>
  <dataValidations count="2">
    <dataValidation sqref="C6" showDropDown="0" showInputMessage="0" showErrorMessage="1" allowBlank="1" errorTitle="Valeur non reconnue" error="Choisissez une valeur dans la liste." type="list">
      <formula1>'Barèmes'!$O$41:$O$46</formula1>
    </dataValidation>
    <dataValidation sqref="C7:C8" showDropDown="0" showInputMessage="0" showErrorMessage="1" allowBlank="1" error="Saisissez une date (jj/mm/aaaa)." type="date" operator="between">
      <formula1>DATE(2000,1,1)</formula1>
      <formula2>DATE(2040,12,31)</formula2>
    </dataValidation>
  </dataValidations>
  <printOptions horizontalCentered="1"/>
  <pageMargins left="0.4" right="0.4" top="0.5" bottom="0.5" header="0.5" footer="0.5"/>
  <pageSetup orientation="portrait" paperSize="9" fitToHeight="1" fitToWidth="1"/>
</worksheet>
</file>

<file path=xl/worksheets/sheet18.xml><?xml version="1.0" encoding="utf-8"?>
<worksheet xmlns="http://schemas.openxmlformats.org/spreadsheetml/2006/main">
  <sheetPr>
    <tabColor rgb="006E7C7B"/>
    <outlinePr summaryBelow="1" summaryRight="1"/>
    <pageSetUpPr fitToPage="1"/>
  </sheetPr>
  <dimension ref="B2:P52"/>
  <sheetViews>
    <sheetView showGridLines="0" zoomScale="100" workbookViewId="0">
      <selection activeCell="A1" sqref="A1"/>
    </sheetView>
  </sheetViews>
  <sheetFormatPr baseColWidth="8" defaultRowHeight="15"/>
  <cols>
    <col width="2" customWidth="1" min="1" max="1"/>
    <col width="50" customWidth="1" min="2" max="2"/>
    <col width="2" customWidth="1" min="3" max="3"/>
    <col width="14" customWidth="1" min="4" max="4"/>
    <col width="70" customWidth="1" min="5" max="5"/>
    <col width="13" customWidth="1" min="6" max="6"/>
    <col width="2" customWidth="1" min="7" max="7"/>
    <col hidden="1" width="30" customWidth="1" min="8" max="8"/>
    <col hidden="1" width="30" customWidth="1" min="9" max="9"/>
    <col hidden="1" width="40" customWidth="1" min="10" max="10"/>
    <col hidden="1" width="30" customWidth="1" min="11" max="11"/>
    <col hidden="1" width="12" customWidth="1" min="12" max="12"/>
    <col hidden="1" width="12" customWidth="1" min="13" max="13"/>
    <col hidden="1" width="40" customWidth="1" min="14" max="14"/>
    <col hidden="1" width="40" customWidth="1" min="15" max="15"/>
    <col hidden="1" width="13" customWidth="1" min="16" max="16"/>
  </cols>
  <sheetData>
    <row r="1" ht="10" customHeight="1"/>
    <row r="2" ht="34" customHeight="1">
      <c r="B2" s="22" t="inlineStr">
        <is>
          <t>Barèmes et références</t>
        </is>
      </c>
      <c r="E2" s="23" t="inlineStr">
        <is>
          <t>Nid Serein · Édition 2026-2027</t>
        </is>
      </c>
    </row>
    <row r="3" ht="20" customHeight="1">
      <c r="B3" s="24" t="inlineStr">
        <is>
          <t>Valeurs en vigueur au 1er juin 2026. Si un texte change, mettez à jour les cellules jaunes : tout le classeur suit.</t>
        </is>
      </c>
    </row>
    <row r="5" ht="22" customHeight="1">
      <c r="B5" s="25" t="inlineStr">
        <is>
          <t>PARAMÈTRE</t>
        </is>
      </c>
      <c r="D5" s="25" t="inlineStr">
        <is>
          <t>VALEUR</t>
        </is>
      </c>
      <c r="E5" s="25" t="inlineStr">
        <is>
          <t>SOURCE</t>
        </is>
      </c>
    </row>
    <row r="6">
      <c r="B6" s="156" t="inlineStr">
        <is>
          <t>SMIC horaire brut</t>
        </is>
      </c>
      <c r="D6" s="157" t="n">
        <v>12.31</v>
      </c>
      <c r="E6" s="158" t="inlineStr">
        <is>
          <t>Arrêté du 22 mai 2026 — SMIC au 1er juin 2026</t>
        </is>
      </c>
    </row>
    <row r="7">
      <c r="B7" s="156" t="inlineStr">
        <is>
          <t>Minimum garanti (MG)</t>
        </is>
      </c>
      <c r="D7" s="157" t="n">
        <v>4.35</v>
      </c>
      <c r="E7" s="158" t="inlineStr">
        <is>
          <t>Au 1er juin 2026 (fiche DREETS Pays de la Loire du 12/06/2026)</t>
        </is>
      </c>
    </row>
    <row r="8">
      <c r="B8" s="156" t="inlineStr">
        <is>
          <t>Salaire horaire minimum légal (0,281 × SMIC)</t>
        </is>
      </c>
      <c r="D8" s="159">
        <f>ROUND(0.281*D6,2)</f>
        <v/>
      </c>
      <c r="E8" s="158" t="inlineStr">
        <is>
          <t>Art. D.423-9 du code de l'action sociale et des familles</t>
        </is>
      </c>
    </row>
    <row r="9">
      <c r="B9" s="156" t="inlineStr">
        <is>
          <t>Salaire horaire minimum conventionnel (brut)</t>
        </is>
      </c>
      <c r="D9" s="157" t="n">
        <v>4.2</v>
      </c>
      <c r="E9" s="158" t="inlineStr">
        <is>
          <t>Avenant n°10 du 5 février 2026 à l'annexe 5 de la CCN, étendu par arrêté du 4 mai 2026</t>
        </is>
      </c>
    </row>
    <row r="10">
      <c r="B10" s="156" t="inlineStr">
        <is>
          <t>Minimum conventionnel, titre « AM – garde d'enfants »</t>
        </is>
      </c>
      <c r="D10" s="157" t="n">
        <v>4.37</v>
      </c>
      <c r="E10" s="158" t="inlineStr">
        <is>
          <t>Même avenant (+4 %)</t>
        </is>
      </c>
    </row>
    <row r="11">
      <c r="B11" s="156" t="inlineStr">
        <is>
          <t>Indemnité d'entretien minimale pour 9 h d'accueil</t>
        </is>
      </c>
      <c r="D11" s="159">
        <f>ROUND(0.9*D7+0.0000001,2)</f>
        <v/>
      </c>
      <c r="E11" s="158" t="inlineStr">
        <is>
          <t>Art. 114-1 CCN : 90 % du minimum garanti</t>
        </is>
      </c>
    </row>
    <row r="12">
      <c r="B12" s="156" t="inlineStr">
        <is>
          <t>Plancher d'indemnité d'entretien par journée</t>
        </is>
      </c>
      <c r="D12" s="157" t="n">
        <v>2.65</v>
      </c>
      <c r="E12" s="158" t="inlineStr">
        <is>
          <t>Art. 114-1 CCN, quelle que soit la durée</t>
        </is>
      </c>
    </row>
    <row r="13">
      <c r="B13" s="156" t="inlineStr">
        <is>
          <t>Seuil des heures majorées (heures par semaine)</t>
        </is>
      </c>
      <c r="D13" s="160" t="n">
        <v>45</v>
      </c>
      <c r="E13" s="158" t="inlineStr">
        <is>
          <t>Art. 110 CCN</t>
        </is>
      </c>
    </row>
    <row r="14">
      <c r="B14" s="156" t="inlineStr">
        <is>
          <t>Majoration minimale des heures au-delà de 45 h</t>
        </is>
      </c>
      <c r="D14" s="161" t="n">
        <v>0.1</v>
      </c>
      <c r="E14" s="158" t="inlineStr">
        <is>
          <t>Art. 110 CCN (au moins 10 %)</t>
        </is>
      </c>
    </row>
    <row r="15">
      <c r="B15" s="156" t="inlineStr">
        <is>
          <t>Majoration d'un jour férié travaillé</t>
        </is>
      </c>
      <c r="D15" s="161" t="n">
        <v>0.1</v>
      </c>
      <c r="E15" s="158" t="inlineStr">
        <is>
          <t>Art. 47-2 CCN</t>
        </is>
      </c>
    </row>
    <row r="16">
      <c r="B16" s="156" t="inlineStr">
        <is>
          <t>Cotisations salariales (taux indicatif)</t>
        </is>
      </c>
      <c r="D16" s="162" t="n">
        <v>0.2188</v>
      </c>
      <c r="E16" s="158" t="inlineStr">
        <is>
          <t>Déduit des minima officiels : 4,20 € brut = 3,28 € net. Pajemploi calcule le net exact.</t>
        </is>
      </c>
    </row>
    <row r="17">
      <c r="B17" s="156" t="inlineStr">
        <is>
          <t>Cotisations salariales Alsace-Moselle (indicatif)</t>
        </is>
      </c>
      <c r="D17" s="162" t="n">
        <v>0.2318</v>
      </c>
      <c r="E17" s="158" t="inlineStr">
        <is>
          <t>4,20 € brut = 3,23 € net en Alsace-Moselle</t>
        </is>
      </c>
    </row>
    <row r="18">
      <c r="B18" s="156" t="inlineStr">
        <is>
          <t>Coefficient brut → net appliqué</t>
        </is>
      </c>
      <c r="D18" s="163">
        <f>1-IF(AlsaceMoselle="Oui",D17,D16)</f>
        <v/>
      </c>
      <c r="E18" s="158" t="inlineStr">
        <is>
          <t>Calculé selon votre réponse « Alsace-Moselle » dans l'onglet Contrat</t>
        </is>
      </c>
    </row>
    <row r="19">
      <c r="B19" s="156" t="inlineStr">
        <is>
          <t>Jours ouvrables de congés acquis par mois</t>
        </is>
      </c>
      <c r="D19" s="164" t="n">
        <v>2.5</v>
      </c>
      <c r="E19" s="158" t="inlineStr">
        <is>
          <t>Art. L.3141-3 C. trav. et 48-1-1-1 CCN</t>
        </is>
      </c>
    </row>
    <row r="20">
      <c r="B20" s="156" t="inlineStr">
        <is>
          <t>Plafond annuel de congés payés (jours ouvrables)</t>
        </is>
      </c>
      <c r="D20" s="160" t="n">
        <v>30</v>
      </c>
      <c r="E20" s="158" t="inlineStr">
        <is>
          <t>5 semaines</t>
        </is>
      </c>
    </row>
    <row r="22" ht="22" customHeight="1">
      <c r="B22" s="25" t="inlineStr">
        <is>
          <t>JOURS FÉRIÉS DE LA PÉRIODE</t>
        </is>
      </c>
      <c r="D22" s="25" t="inlineStr">
        <is>
          <t>DATE</t>
        </is>
      </c>
      <c r="E22" s="25" t="inlineStr">
        <is>
          <t>ZONE</t>
        </is>
      </c>
      <c r="F22" s="25" t="inlineStr">
        <is>
          <t>PRIS EN COMPTE</t>
        </is>
      </c>
    </row>
    <row r="23">
      <c r="B23" s="29" t="inlineStr">
        <is>
          <t>Fête nationale</t>
        </is>
      </c>
      <c r="D23" s="37" t="n">
        <v>46217</v>
      </c>
      <c r="E23" s="165" t="inlineStr">
        <is>
          <t>Toute la France</t>
        </is>
      </c>
      <c r="F23" s="45">
        <f>IF(AND(E23="Alsace-Moselle",AlsaceMoselle&lt;&gt;"Oui"),"",D23)</f>
        <v/>
      </c>
    </row>
    <row r="24">
      <c r="B24" s="29" t="inlineStr">
        <is>
          <t>Assomption</t>
        </is>
      </c>
      <c r="D24" s="37" t="n">
        <v>46249</v>
      </c>
      <c r="E24" s="165" t="inlineStr">
        <is>
          <t>Toute la France</t>
        </is>
      </c>
      <c r="F24" s="45">
        <f>IF(AND(E24="Alsace-Moselle",AlsaceMoselle&lt;&gt;"Oui"),"",D24)</f>
        <v/>
      </c>
    </row>
    <row r="25">
      <c r="B25" s="29" t="inlineStr">
        <is>
          <t>Toussaint</t>
        </is>
      </c>
      <c r="D25" s="37" t="n">
        <v>46327</v>
      </c>
      <c r="E25" s="165" t="inlineStr">
        <is>
          <t>Toute la France</t>
        </is>
      </c>
      <c r="F25" s="45">
        <f>IF(AND(E25="Alsace-Moselle",AlsaceMoselle&lt;&gt;"Oui"),"",D25)</f>
        <v/>
      </c>
    </row>
    <row r="26">
      <c r="B26" s="29" t="inlineStr">
        <is>
          <t>Armistice 1918</t>
        </is>
      </c>
      <c r="D26" s="37" t="n">
        <v>46337</v>
      </c>
      <c r="E26" s="165" t="inlineStr">
        <is>
          <t>Toute la France</t>
        </is>
      </c>
      <c r="F26" s="45">
        <f>IF(AND(E26="Alsace-Moselle",AlsaceMoselle&lt;&gt;"Oui"),"",D26)</f>
        <v/>
      </c>
    </row>
    <row r="27">
      <c r="B27" s="29" t="inlineStr">
        <is>
          <t>Noël</t>
        </is>
      </c>
      <c r="D27" s="37" t="n">
        <v>46381</v>
      </c>
      <c r="E27" s="165" t="inlineStr">
        <is>
          <t>Toute la France</t>
        </is>
      </c>
      <c r="F27" s="45">
        <f>IF(AND(E27="Alsace-Moselle",AlsaceMoselle&lt;&gt;"Oui"),"",D27)</f>
        <v/>
      </c>
    </row>
    <row r="28">
      <c r="B28" s="29" t="inlineStr">
        <is>
          <t>Saint-Étienne</t>
        </is>
      </c>
      <c r="D28" s="37" t="n">
        <v>46382</v>
      </c>
      <c r="E28" s="165" t="inlineStr">
        <is>
          <t>Alsace-Moselle</t>
        </is>
      </c>
      <c r="F28" s="45">
        <f>IF(AND(E28="Alsace-Moselle",AlsaceMoselle&lt;&gt;"Oui"),"",D28)</f>
        <v/>
      </c>
    </row>
    <row r="29">
      <c r="B29" s="29" t="inlineStr">
        <is>
          <t>Jour de l'an</t>
        </is>
      </c>
      <c r="D29" s="37" t="n">
        <v>46388</v>
      </c>
      <c r="E29" s="165" t="inlineStr">
        <is>
          <t>Toute la France</t>
        </is>
      </c>
      <c r="F29" s="45">
        <f>IF(AND(E29="Alsace-Moselle",AlsaceMoselle&lt;&gt;"Oui"),"",D29)</f>
        <v/>
      </c>
    </row>
    <row r="30">
      <c r="B30" s="29" t="inlineStr">
        <is>
          <t>Vendredi saint</t>
        </is>
      </c>
      <c r="D30" s="37" t="n">
        <v>46472</v>
      </c>
      <c r="E30" s="165" t="inlineStr">
        <is>
          <t>Alsace-Moselle</t>
        </is>
      </c>
      <c r="F30" s="45">
        <f>IF(AND(E30="Alsace-Moselle",AlsaceMoselle&lt;&gt;"Oui"),"",D30)</f>
        <v/>
      </c>
    </row>
    <row r="31">
      <c r="B31" s="29" t="inlineStr">
        <is>
          <t>Lundi de Pâques</t>
        </is>
      </c>
      <c r="D31" s="37" t="n">
        <v>46475</v>
      </c>
      <c r="E31" s="165" t="inlineStr">
        <is>
          <t>Toute la France</t>
        </is>
      </c>
      <c r="F31" s="45">
        <f>IF(AND(E31="Alsace-Moselle",AlsaceMoselle&lt;&gt;"Oui"),"",D31)</f>
        <v/>
      </c>
    </row>
    <row r="32">
      <c r="B32" s="29" t="inlineStr">
        <is>
          <t>Fête du Travail</t>
        </is>
      </c>
      <c r="D32" s="37" t="n">
        <v>46508</v>
      </c>
      <c r="E32" s="165" t="inlineStr">
        <is>
          <t>Toute la France</t>
        </is>
      </c>
      <c r="F32" s="45">
        <f>IF(AND(E32="Alsace-Moselle",AlsaceMoselle&lt;&gt;"Oui"),"",D32)</f>
        <v/>
      </c>
    </row>
    <row r="33">
      <c r="B33" s="29" t="inlineStr">
        <is>
          <t>Ascension</t>
        </is>
      </c>
      <c r="D33" s="37" t="n">
        <v>46513</v>
      </c>
      <c r="E33" s="165" t="inlineStr">
        <is>
          <t>Toute la France</t>
        </is>
      </c>
      <c r="F33" s="45">
        <f>IF(AND(E33="Alsace-Moselle",AlsaceMoselle&lt;&gt;"Oui"),"",D33)</f>
        <v/>
      </c>
    </row>
    <row r="34">
      <c r="B34" s="29" t="inlineStr">
        <is>
          <t>Victoire 1945</t>
        </is>
      </c>
      <c r="D34" s="37" t="n">
        <v>46515</v>
      </c>
      <c r="E34" s="165" t="inlineStr">
        <is>
          <t>Toute la France</t>
        </is>
      </c>
      <c r="F34" s="45">
        <f>IF(AND(E34="Alsace-Moselle",AlsaceMoselle&lt;&gt;"Oui"),"",D34)</f>
        <v/>
      </c>
    </row>
    <row r="35">
      <c r="B35" s="29" t="inlineStr">
        <is>
          <t>Lundi de Pentecôte</t>
        </is>
      </c>
      <c r="D35" s="37" t="n">
        <v>46524</v>
      </c>
      <c r="E35" s="165" t="inlineStr">
        <is>
          <t>Toute la France</t>
        </is>
      </c>
      <c r="F35" s="45">
        <f>IF(AND(E35="Alsace-Moselle",AlsaceMoselle&lt;&gt;"Oui"),"",D35)</f>
        <v/>
      </c>
    </row>
    <row r="39">
      <c r="H39" s="47" t="inlineStr">
        <is>
          <t>Listes utilisées par les menus déroulants — ne pas modifier</t>
        </is>
      </c>
    </row>
    <row r="40">
      <c r="H40" s="47" t="inlineStr">
        <is>
          <t>Statuts du jour</t>
        </is>
      </c>
      <c r="I40" s="47" t="inlineStr">
        <is>
          <t>Périodes</t>
        </is>
      </c>
      <c r="J40" s="47" t="inlineStr">
        <is>
          <t>Paiement CP</t>
        </is>
      </c>
      <c r="K40" s="47" t="inlineStr">
        <is>
          <t>Mois</t>
        </is>
      </c>
      <c r="L40" s="47" t="inlineStr">
        <is>
          <t>Oui/Non</t>
        </is>
      </c>
      <c r="M40" s="47" t="inlineStr">
        <is>
          <t>Taux</t>
        </is>
      </c>
      <c r="N40" s="47" t="inlineStr">
        <is>
          <t>Type d'accueil</t>
        </is>
      </c>
      <c r="O40" s="47" t="inlineStr">
        <is>
          <t>Motifs</t>
        </is>
      </c>
      <c r="P40" s="47" t="inlineStr">
        <is>
          <t>Repas</t>
        </is>
      </c>
    </row>
    <row r="41">
      <c r="H41" s="41" t="inlineStr">
        <is>
          <t>Accueil</t>
        </is>
      </c>
      <c r="I41" s="41" t="inlineStr">
        <is>
          <t>Congés payés de l'assmat</t>
        </is>
      </c>
      <c r="J41" s="41" t="inlineStr">
        <is>
          <t>En une fois au mois de juin</t>
        </is>
      </c>
      <c r="K41" s="41" t="inlineStr">
        <is>
          <t>Juin 2026</t>
        </is>
      </c>
      <c r="L41" s="41" t="inlineStr">
        <is>
          <t>Non</t>
        </is>
      </c>
      <c r="M41" s="41" t="inlineStr">
        <is>
          <t>brut</t>
        </is>
      </c>
      <c r="N41" s="41" t="inlineStr">
        <is>
          <t>52 semaines (année complète)</t>
        </is>
      </c>
      <c r="O41" s="41" t="inlineStr">
        <is>
          <t>Retrait de l'enfant (décision des parents)</t>
        </is>
      </c>
      <c r="P41" s="41" t="inlineStr">
        <is>
          <t>Les parents</t>
        </is>
      </c>
    </row>
    <row r="42">
      <c r="H42" s="41" t="inlineStr">
        <is>
          <t>Absence enfant – payée</t>
        </is>
      </c>
      <c r="I42" s="41" t="inlineStr">
        <is>
          <t>Semaine(s) non programmée(s)</t>
        </is>
      </c>
      <c r="J42" s="41" t="inlineStr">
        <is>
          <t>Lors de la prise principale des congés</t>
        </is>
      </c>
      <c r="K42" s="41" t="inlineStr">
        <is>
          <t>Juillet 2026</t>
        </is>
      </c>
      <c r="L42" s="41" t="inlineStr">
        <is>
          <t>Oui</t>
        </is>
      </c>
      <c r="M42" s="41" t="inlineStr">
        <is>
          <t>net</t>
        </is>
      </c>
      <c r="N42" s="41" t="inlineStr">
        <is>
          <t>46 semaines ou moins (année incomplète)</t>
        </is>
      </c>
      <c r="O42" s="41" t="inlineStr">
        <is>
          <t>Démission de l'assistante maternelle</t>
        </is>
      </c>
      <c r="P42" s="41" t="inlineStr">
        <is>
          <t>L'assistante maternelle</t>
        </is>
      </c>
    </row>
    <row r="43">
      <c r="H43" s="41" t="inlineStr">
        <is>
          <t>Maladie enfant – retenue</t>
        </is>
      </c>
      <c r="I43" s="41" t="inlineStr">
        <is>
          <t>Absence de l'enfant – payée</t>
        </is>
      </c>
      <c r="J43" s="41" t="inlineStr">
        <is>
          <t>Au fur et à mesure de la prise des congés</t>
        </is>
      </c>
      <c r="K43" s="41" t="inlineStr">
        <is>
          <t>Août 2026</t>
        </is>
      </c>
      <c r="O43" s="41" t="inlineStr">
        <is>
          <t>Suspension ou retrait d'agrément</t>
        </is>
      </c>
    </row>
    <row r="44">
      <c r="H44" s="41" t="inlineStr">
        <is>
          <t>Absence assmat – non payée</t>
        </is>
      </c>
      <c r="I44" s="41" t="inlineStr">
        <is>
          <t>Congé sans solde de l'assmat</t>
        </is>
      </c>
      <c r="K44" s="41" t="inlineStr">
        <is>
          <t>Septembre 2026</t>
        </is>
      </c>
      <c r="O44" s="41" t="inlineStr">
        <is>
          <t>Faute grave</t>
        </is>
      </c>
    </row>
    <row r="45">
      <c r="H45" s="41" t="inlineStr">
        <is>
          <t>Congé payé assmat</t>
        </is>
      </c>
      <c r="K45" s="41" t="inlineStr">
        <is>
          <t>Octobre 2026</t>
        </is>
      </c>
      <c r="O45" s="41" t="inlineStr">
        <is>
          <t>Décès de l'enfant</t>
        </is>
      </c>
    </row>
    <row r="46">
      <c r="H46" s="41" t="inlineStr">
        <is>
          <t>Congé sans solde assmat</t>
        </is>
      </c>
      <c r="K46" s="41" t="inlineStr">
        <is>
          <t>Novembre 2026</t>
        </is>
      </c>
      <c r="O46" s="41" t="inlineStr">
        <is>
          <t>Départ volontaire à la retraite</t>
        </is>
      </c>
    </row>
    <row r="47">
      <c r="H47" s="41" t="inlineStr">
        <is>
          <t>Férié chômé payé</t>
        </is>
      </c>
      <c r="K47" s="41" t="inlineStr">
        <is>
          <t>Décembre 2026</t>
        </is>
      </c>
    </row>
    <row r="48">
      <c r="H48" s="41" t="inlineStr">
        <is>
          <t>Férié travaillé (+10 %)</t>
        </is>
      </c>
      <c r="K48" s="41" t="inlineStr">
        <is>
          <t>Janvier 2027</t>
        </is>
      </c>
    </row>
    <row r="49">
      <c r="H49" s="41" t="inlineStr">
        <is>
          <t>1er mai travaillé</t>
        </is>
      </c>
      <c r="K49" s="41" t="inlineStr">
        <is>
          <t>Février 2027</t>
        </is>
      </c>
    </row>
    <row r="50">
      <c r="H50" s="41" t="inlineStr">
        <is>
          <t>Semaine non programmée</t>
        </is>
      </c>
      <c r="K50" s="41" t="inlineStr">
        <is>
          <t>Mars 2027</t>
        </is>
      </c>
    </row>
    <row r="51">
      <c r="K51" s="41" t="inlineStr">
        <is>
          <t>Avril 2027</t>
        </is>
      </c>
    </row>
    <row r="52">
      <c r="K52" s="41" t="inlineStr">
        <is>
          <t>Mai 2027</t>
        </is>
      </c>
    </row>
  </sheetData>
  <sheetProtection selectLockedCells="0" selectUnlockedCells="0" sheet="1" objects="0" insertRows="1" insertHyperlinks="1" autoFilter="1" scenarios="0" formatColumns="0" deleteColumns="1" insertColumns="1" pivotTables="1" deleteRows="1" formatCells="1" formatRows="0" sort="1"/>
  <mergeCells count="7">
    <mergeCell ref="F22"/>
    <mergeCell ref="D5"/>
    <mergeCell ref="B22"/>
    <mergeCell ref="B5"/>
    <mergeCell ref="E22"/>
    <mergeCell ref="D22"/>
    <mergeCell ref="E5"/>
  </mergeCells>
  <printOptions horizontalCentered="1"/>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2026-10-28T10:55:48Z</dcterms:created>
  <dcterms:modified xmlns:dcterms="http://purl.org/dc/terms/" xmlns:xsi="http://www.w3.org/2001/XMLSchema-instance" xsi:type="dcterms:W3CDTF">2026-10-28T10:55:49Z</dcterms:modified>
</cp:coreProperties>
</file>